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larsen_macbook15/Downloads/"/>
    </mc:Choice>
  </mc:AlternateContent>
  <xr:revisionPtr revIDLastSave="0" documentId="13_ncr:1_{9EB6B33E-CBD6-674C-9066-DBD308413151}" xr6:coauthVersionLast="47" xr6:coauthVersionMax="47" xr10:uidLastSave="{00000000-0000-0000-0000-000000000000}"/>
  <bookViews>
    <workbookView xWindow="0" yWindow="780" windowWidth="34200" windowHeight="2000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" i="1" l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D12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N63" i="1"/>
  <c r="AN62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AN59" i="1"/>
  <c r="AN58" i="1"/>
  <c r="AN57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N54" i="1"/>
  <c r="AN53" i="1"/>
  <c r="AN55" i="1" s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N50" i="1"/>
  <c r="AN49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N46" i="1"/>
  <c r="AN45" i="1"/>
  <c r="AN44" i="1"/>
  <c r="AN43" i="1"/>
  <c r="AN42" i="1"/>
  <c r="AN41" i="1"/>
  <c r="AN40" i="1"/>
  <c r="AN39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N22" i="1"/>
  <c r="AN21" i="1"/>
  <c r="AN20" i="1"/>
  <c r="AN19" i="1"/>
  <c r="AN18" i="1"/>
  <c r="AN17" i="1"/>
  <c r="AN16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N9" i="1"/>
  <c r="AN10" i="1" s="1"/>
  <c r="AN60" i="1" l="1"/>
  <c r="R66" i="1"/>
  <c r="R68" i="1" s="1"/>
  <c r="H66" i="1"/>
  <c r="H68" i="1" s="1"/>
  <c r="W66" i="1"/>
  <c r="D66" i="1"/>
  <c r="N66" i="1"/>
  <c r="X66" i="1"/>
  <c r="AN51" i="1"/>
  <c r="M66" i="1"/>
  <c r="G66" i="1"/>
  <c r="AL66" i="1"/>
  <c r="AL68" i="1" s="1"/>
  <c r="I66" i="1"/>
  <c r="S66" i="1"/>
  <c r="S68" i="1" s="1"/>
  <c r="AM66" i="1"/>
  <c r="AM68" i="1" s="1"/>
  <c r="AI66" i="1"/>
  <c r="F66" i="1"/>
  <c r="AJ66" i="1"/>
  <c r="AB66" i="1"/>
  <c r="Q66" i="1"/>
  <c r="T66" i="1"/>
  <c r="Z66" i="1"/>
  <c r="J66" i="1"/>
  <c r="J68" i="1" s="1"/>
  <c r="K66" i="1"/>
  <c r="U66" i="1"/>
  <c r="E66" i="1"/>
  <c r="O66" i="1"/>
  <c r="Y66" i="1"/>
  <c r="P66" i="1"/>
  <c r="L66" i="1"/>
  <c r="V66" i="1"/>
  <c r="AN47" i="1"/>
  <c r="AN64" i="1"/>
  <c r="AA66" i="1"/>
  <c r="AC66" i="1"/>
  <c r="AD66" i="1"/>
  <c r="AE66" i="1"/>
  <c r="AF66" i="1"/>
  <c r="AK66" i="1"/>
  <c r="AH66" i="1"/>
  <c r="AH68" i="1" s="1"/>
  <c r="AN37" i="1"/>
  <c r="AG66" i="1"/>
  <c r="AN23" i="1"/>
  <c r="AD68" i="1" l="1"/>
  <c r="U68" i="1"/>
  <c r="AK68" i="1"/>
  <c r="AI68" i="1"/>
  <c r="V68" i="1"/>
  <c r="D68" i="1"/>
  <c r="L68" i="1"/>
  <c r="T68" i="1"/>
  <c r="W68" i="1"/>
  <c r="N68" i="1"/>
  <c r="AB68" i="1"/>
  <c r="K68" i="1"/>
  <c r="G68" i="1"/>
  <c r="AJ68" i="1"/>
  <c r="AA68" i="1"/>
  <c r="M68" i="1"/>
  <c r="AE68" i="1"/>
  <c r="P68" i="1"/>
  <c r="Q68" i="1"/>
  <c r="X68" i="1"/>
  <c r="AG68" i="1"/>
  <c r="Y68" i="1"/>
  <c r="I68" i="1"/>
  <c r="O68" i="1"/>
  <c r="Z68" i="1"/>
  <c r="F68" i="1"/>
  <c r="E68" i="1"/>
  <c r="AC68" i="1"/>
  <c r="AF68" i="1"/>
  <c r="AN66" i="1"/>
  <c r="AN68" i="1" s="1"/>
</calcChain>
</file>

<file path=xl/sharedStrings.xml><?xml version="1.0" encoding="utf-8"?>
<sst xmlns="http://schemas.openxmlformats.org/spreadsheetml/2006/main" count="241" uniqueCount="94">
  <si>
    <t>Income Statement for Yosemite Sierra View</t>
  </si>
  <si>
    <t>From January  1, 2023 through December 31, 2025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</si>
  <si>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</si>
  <si>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</si>
  <si>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</si>
  <si>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</si>
  <si>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</si>
  <si>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</si>
  <si>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</si>
  <si>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</si>
  <si>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</si>
  <si>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</si>
  <si>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</si>
  <si>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</si>
  <si>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</si>
  <si>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</si>
  <si>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</si>
  <si>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</si>
  <si>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</si>
  <si>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</si>
  <si>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</si>
  <si>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</si>
  <si>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</si>
  <si>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</si>
  <si>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</si>
  <si>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</si>
  <si>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</si>
  <si>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</si>
  <si>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</si>
  <si>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</si>
  <si>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</si>
  <si>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</si>
  <si>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</si>
  <si>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</si>
  <si>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</si>
  <si>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</si>
  <si>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</si>
  <si>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</si>
  <si>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</si>
  <si>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INCOME</t>
  </si>
  <si>
    <t>Short Term Rents</t>
  </si>
  <si>
    <t>Total Rental Income</t>
  </si>
  <si>
    <t>TOTAL INCOME</t>
  </si>
  <si>
    <t>OPERATING EXPENSES</t>
  </si>
  <si>
    <t>General Utilities</t>
  </si>
  <si>
    <t>Gas</t>
  </si>
  <si>
    <t>Electric</t>
  </si>
  <si>
    <t>Gas &amp; Electric</t>
  </si>
  <si>
    <t>Garbage &amp; Recycling</t>
  </si>
  <si>
    <t>Telephone, Cable &amp; Internet</t>
  </si>
  <si>
    <t>Water &amp; Sewer</t>
  </si>
  <si>
    <t>Total Utilities</t>
  </si>
  <si>
    <t>General Repairs &amp; Maintenance</t>
  </si>
  <si>
    <t>Cleaning &amp; Janitorial</t>
  </si>
  <si>
    <t>Plumbing Repairs</t>
  </si>
  <si>
    <t>HVAC Repairs</t>
  </si>
  <si>
    <t>Appliance Repairs</t>
  </si>
  <si>
    <t>Other Repairs</t>
  </si>
  <si>
    <t>Security, Locks &amp; Keys</t>
  </si>
  <si>
    <t>Gardening &amp; Landscaping</t>
  </si>
  <si>
    <t>Pool &amp; Spa</t>
  </si>
  <si>
    <t>R&amp;M Supplies</t>
  </si>
  <si>
    <t>Labor</t>
  </si>
  <si>
    <t>Linens, Soaps, &amp; Other Consumables</t>
  </si>
  <si>
    <t>Total Repairs &amp; Maintenance</t>
  </si>
  <si>
    <t>General Admin &amp; Other</t>
  </si>
  <si>
    <t>Advertising</t>
  </si>
  <si>
    <t>Travel</t>
  </si>
  <si>
    <t>Meals</t>
  </si>
  <si>
    <t>Office Supplies &amp; Postage</t>
  </si>
  <si>
    <t>Software Subscriptions</t>
  </si>
  <si>
    <t>Bank Fees</t>
  </si>
  <si>
    <t>Gifts</t>
  </si>
  <si>
    <t>Total Admin &amp; Other</t>
  </si>
  <si>
    <t>Property Management</t>
  </si>
  <si>
    <t>Booking &amp; Platform Fees</t>
  </si>
  <si>
    <t>Total Management Fees</t>
  </si>
  <si>
    <t>Rental Dwelling</t>
  </si>
  <si>
    <t>Liability</t>
  </si>
  <si>
    <t>Total Insurance</t>
  </si>
  <si>
    <t>Property Taxes</t>
  </si>
  <si>
    <t>Short Term Occupancy Taxes</t>
  </si>
  <si>
    <t>Tax Licenses &amp; Registrations</t>
  </si>
  <si>
    <t>Total Taxes</t>
  </si>
  <si>
    <t>Accounting</t>
  </si>
  <si>
    <t>Surveys</t>
  </si>
  <si>
    <t>Total Legal &amp; Professional</t>
  </si>
  <si>
    <t>TOTAL OPERATING EXPENSES</t>
  </si>
  <si>
    <t>NET OPERATING INCOME</t>
  </si>
  <si>
    <t>Report Created: January  9, 2026  7:45 PM PST</t>
  </si>
  <si>
    <t>Powered by Stessa</t>
  </si>
  <si>
    <t>Access your account:</t>
  </si>
  <si>
    <t>https://app.stessa.com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</si>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</sst>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$* #,##0_);_(\$* \(#,##0\);_(\$* \-??_);_(@_)"/>
    <numFmt numFmtId="165" formatCode="_(* #,##0_);_(* \(#,##0\);_(* \-??_);_(@_)"/>
  </numFmts>
  <fonts count="13" x14ac:knownFonts="1">
    <font>
      <sz val="12"/>
      <name val="Calibri"/>
      <family val="1"/>
    </font>
    <font>
      <b/>
      <sz val="18"/>
      <color rgb="FFFFFFFF"/>
      <name val="Calibri"/>
      <family val="1"/>
    </font>
    <font>
      <i/>
      <sz val="12"/>
      <name val="Calibri"/>
      <family val="1"/>
    </font>
    <font>
      <b/>
      <sz val="14"/>
      <name val="Calibri"/>
      <family val="1"/>
    </font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b/>
      <sz val="14"/>
      <name val="Calibri"/>
      <family val="1"/>
    </font>
    <font>
      <b/>
      <sz val="14"/>
      <name val="Calibri"/>
      <family val="1"/>
    </font>
    <font>
      <b/>
      <sz val="14"/>
      <name val="Calibri"/>
      <family val="1"/>
    </font>
    <font>
      <i/>
      <sz val="12"/>
      <name val="Calibri"/>
      <family val="1"/>
    </font>
    <font>
      <i/>
      <sz val="12"/>
      <color rgb="FF548AC4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548AC4"/>
        <bgColor rgb="FF548AC4"/>
      </patternFill>
    </fill>
    <fill>
      <patternFill patternType="solid">
        <fgColor rgb="FFC1C7D0"/>
        <bgColor rgb="FFC1C7D0"/>
      </patternFill>
    </fill>
    <fill>
      <patternFill patternType="solid">
        <fgColor rgb="FFF4F5F7"/>
        <bgColor rgb="FFF4F5F7"/>
      </patternFill>
    </fill>
    <fill>
      <patternFill patternType="solid">
        <fgColor rgb="FFE6F0FA"/>
        <bgColor rgb="FFE6F0FA"/>
      </patternFill>
    </fill>
    <fill>
      <patternFill patternType="solid">
        <fgColor rgb="FFE6F0FA"/>
        <bgColor rgb="FFE6F0FA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E5E5E5"/>
      </bottom>
      <diagonal/>
    </border>
    <border>
      <left/>
      <right/>
      <top/>
      <bottom style="thin">
        <color rgb="FFE5E5E5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right" wrapText="1"/>
    </xf>
    <xf numFmtId="164" fontId="5" fillId="3" borderId="0" xfId="0" applyNumberFormat="1" applyFont="1" applyFill="1" applyAlignment="1">
      <alignment horizontal="right"/>
    </xf>
    <xf numFmtId="164" fontId="6" fillId="0" borderId="0" xfId="0" applyNumberFormat="1" applyFont="1"/>
    <xf numFmtId="164" fontId="7" fillId="4" borderId="0" xfId="0" applyNumberFormat="1" applyFont="1" applyFill="1" applyAlignment="1">
      <alignment horizontal="right"/>
    </xf>
    <xf numFmtId="0" fontId="0" fillId="0" borderId="3" xfId="0" applyBorder="1" applyAlignment="1">
      <alignment horizontal="left"/>
    </xf>
    <xf numFmtId="165" fontId="0" fillId="0" borderId="4" xfId="0" applyNumberFormat="1" applyBorder="1" applyAlignment="1">
      <alignment horizontal="right"/>
    </xf>
    <xf numFmtId="164" fontId="8" fillId="5" borderId="5" xfId="0" applyNumberFormat="1" applyFont="1" applyFill="1" applyBorder="1"/>
    <xf numFmtId="164" fontId="9" fillId="0" borderId="6" xfId="0" applyNumberFormat="1" applyFont="1" applyBorder="1"/>
    <xf numFmtId="164" fontId="10" fillId="6" borderId="7" xfId="0" applyNumberFormat="1" applyFont="1" applyFill="1" applyBorder="1"/>
    <xf numFmtId="0" fontId="11" fillId="0" borderId="0" xfId="0" applyFont="1" applyAlignment="1">
      <alignment horizontal="left"/>
    </xf>
    <xf numFmtId="0" fontId="12" fillId="0" borderId="0" xfId="0" applyFont="1"/>
    <xf numFmtId="0" fontId="0" fillId="0" borderId="0" xfId="0"/>
    <xf numFmtId="164" fontId="8" fillId="5" borderId="5" xfId="0" applyNumberFormat="1" applyFont="1" applyFill="1" applyBorder="1"/>
    <xf numFmtId="0" fontId="11" fillId="0" borderId="0" xfId="0" applyFont="1" applyAlignment="1">
      <alignment horizontal="left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 wrapText="1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stes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5"/>
  <sheetViews>
    <sheetView showGridLines="0" tabSelected="1" showWhiteSpace="0" topLeftCell="Y2" workbookViewId="0">
      <selection activeCell="K26" sqref="K26"/>
    </sheetView>
  </sheetViews>
  <sheetFormatPr baseColWidth="10" defaultColWidth="8.83203125" defaultRowHeight="16" x14ac:dyDescent="0.2"/>
  <cols>
    <col min="1" max="2" width="2" bestFit="1" customWidth="1"/>
    <col min="3" max="3" width="29" bestFit="1" customWidth="1"/>
    <col min="4" max="40" width="17" bestFit="1" customWidth="1"/>
  </cols>
  <sheetData>
    <row r="1" spans="1:40" x14ac:dyDescent="0.2">
      <c r="A1" t="s">
        <v>93</v>
      </c>
      <c r="B1" t="s">
        <v>93</v>
      </c>
    </row>
    <row r="2" spans="1:40" ht="25" customHeight="1" x14ac:dyDescent="0.2">
      <c r="A2" s="16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ht="20" customHeight="1" x14ac:dyDescent="0.2">
      <c r="A3" s="1"/>
      <c r="B3" s="1"/>
      <c r="C3" s="17" t="s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x14ac:dyDescent="0.2">
      <c r="A4" t="s">
        <v>93</v>
      </c>
      <c r="B4" t="s">
        <v>93</v>
      </c>
    </row>
    <row r="5" spans="1:40" ht="20" x14ac:dyDescent="0.25">
      <c r="A5" t="s">
        <v>93</v>
      </c>
      <c r="B5" s="18" t="s">
        <v>93</v>
      </c>
      <c r="C5" s="19" t="s">
        <v>93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</row>
    <row r="6" spans="1:40" x14ac:dyDescent="0.2">
      <c r="A6" t="s">
        <v>93</v>
      </c>
      <c r="B6" t="s">
        <v>93</v>
      </c>
    </row>
    <row r="7" spans="1:40" x14ac:dyDescent="0.2">
      <c r="A7" s="4" t="s">
        <v>93</v>
      </c>
      <c r="B7" s="20" t="s">
        <v>39</v>
      </c>
      <c r="C7" s="20" t="s">
        <v>93</v>
      </c>
    </row>
    <row r="8" spans="1:40" x14ac:dyDescent="0.2">
      <c r="A8" t="s">
        <v>93</v>
      </c>
      <c r="B8" t="s">
        <v>93</v>
      </c>
    </row>
    <row r="9" spans="1:40" x14ac:dyDescent="0.2">
      <c r="A9" t="s">
        <v>93</v>
      </c>
      <c r="B9" t="s">
        <v>93</v>
      </c>
      <c r="C9" s="6" t="s">
        <v>40</v>
      </c>
      <c r="D9" s="7">
        <v>10156.950000000001</v>
      </c>
      <c r="E9" s="7">
        <v>9307.64</v>
      </c>
      <c r="F9" s="7">
        <v>856.5</v>
      </c>
      <c r="G9" s="7">
        <v>5182.6499999999996</v>
      </c>
      <c r="H9" s="7">
        <v>16226.65</v>
      </c>
      <c r="I9" s="7">
        <v>24914.04</v>
      </c>
      <c r="J9" s="7">
        <v>13528.23</v>
      </c>
      <c r="K9" s="7">
        <v>30296</v>
      </c>
      <c r="L9" s="7">
        <v>19515.95</v>
      </c>
      <c r="M9" s="7">
        <v>15205.59</v>
      </c>
      <c r="N9" s="7">
        <v>10550.04</v>
      </c>
      <c r="O9" s="7">
        <v>13057.26</v>
      </c>
      <c r="P9" s="7">
        <v>6458.45</v>
      </c>
      <c r="Q9" s="7">
        <v>7802.78</v>
      </c>
      <c r="R9" s="7">
        <v>6826.52</v>
      </c>
      <c r="S9" s="7">
        <v>8630.92</v>
      </c>
      <c r="T9" s="7">
        <v>13521.2</v>
      </c>
      <c r="U9" s="7">
        <v>10803.66</v>
      </c>
      <c r="V9" s="7">
        <v>18450.2</v>
      </c>
      <c r="W9" s="7">
        <v>13687.29</v>
      </c>
      <c r="X9" s="7">
        <v>8635.08</v>
      </c>
      <c r="Y9" s="7">
        <v>11723.6</v>
      </c>
      <c r="Z9" s="7">
        <v>4241.5</v>
      </c>
      <c r="AA9" s="7">
        <v>16824.25</v>
      </c>
      <c r="AB9" s="7">
        <v>4404.7</v>
      </c>
      <c r="AC9" s="7">
        <v>6604</v>
      </c>
      <c r="AD9" s="7">
        <v>24437.59</v>
      </c>
      <c r="AE9" s="7">
        <v>12887.9</v>
      </c>
      <c r="AF9" s="7">
        <v>8726.9699999999993</v>
      </c>
      <c r="AG9" s="7">
        <v>20687.57</v>
      </c>
      <c r="AH9" s="7">
        <v>18194.05</v>
      </c>
      <c r="AI9" s="7">
        <v>15140.89</v>
      </c>
      <c r="AJ9" s="7">
        <v>18329.63</v>
      </c>
      <c r="AK9" s="7">
        <v>10704.17</v>
      </c>
      <c r="AL9" s="7">
        <v>9339.7199999999993</v>
      </c>
      <c r="AM9" s="7">
        <v>10598.05</v>
      </c>
      <c r="AN9" s="7">
        <f>SUM(D9:AM9)</f>
        <v>456458.19</v>
      </c>
    </row>
    <row r="10" spans="1:40" x14ac:dyDescent="0.2">
      <c r="A10" t="s">
        <v>93</v>
      </c>
      <c r="B10" t="s">
        <v>93</v>
      </c>
      <c r="C10" s="5" t="s">
        <v>41</v>
      </c>
      <c r="D10" s="5">
        <f t="shared" ref="D10:AN10" si="0">SUM(D9:D9)</f>
        <v>10156.950000000001</v>
      </c>
      <c r="E10" s="5">
        <f t="shared" si="0"/>
        <v>9307.64</v>
      </c>
      <c r="F10" s="5">
        <f t="shared" si="0"/>
        <v>856.5</v>
      </c>
      <c r="G10" s="5">
        <f t="shared" si="0"/>
        <v>5182.6499999999996</v>
      </c>
      <c r="H10" s="5">
        <f t="shared" si="0"/>
        <v>16226.65</v>
      </c>
      <c r="I10" s="5">
        <f t="shared" si="0"/>
        <v>24914.04</v>
      </c>
      <c r="J10" s="5">
        <f t="shared" si="0"/>
        <v>13528.23</v>
      </c>
      <c r="K10" s="5">
        <f t="shared" si="0"/>
        <v>30296</v>
      </c>
      <c r="L10" s="5">
        <f t="shared" si="0"/>
        <v>19515.95</v>
      </c>
      <c r="M10" s="5">
        <f t="shared" si="0"/>
        <v>15205.59</v>
      </c>
      <c r="N10" s="5">
        <f t="shared" si="0"/>
        <v>10550.04</v>
      </c>
      <c r="O10" s="5">
        <f t="shared" si="0"/>
        <v>13057.26</v>
      </c>
      <c r="P10" s="5">
        <f t="shared" si="0"/>
        <v>6458.45</v>
      </c>
      <c r="Q10" s="5">
        <f t="shared" si="0"/>
        <v>7802.78</v>
      </c>
      <c r="R10" s="5">
        <f t="shared" si="0"/>
        <v>6826.52</v>
      </c>
      <c r="S10" s="5">
        <f t="shared" si="0"/>
        <v>8630.92</v>
      </c>
      <c r="T10" s="5">
        <f t="shared" si="0"/>
        <v>13521.2</v>
      </c>
      <c r="U10" s="5">
        <f t="shared" si="0"/>
        <v>10803.66</v>
      </c>
      <c r="V10" s="5">
        <f t="shared" si="0"/>
        <v>18450.2</v>
      </c>
      <c r="W10" s="5">
        <f t="shared" si="0"/>
        <v>13687.29</v>
      </c>
      <c r="X10" s="5">
        <f t="shared" si="0"/>
        <v>8635.08</v>
      </c>
      <c r="Y10" s="5">
        <f t="shared" si="0"/>
        <v>11723.6</v>
      </c>
      <c r="Z10" s="5">
        <f t="shared" si="0"/>
        <v>4241.5</v>
      </c>
      <c r="AA10" s="5">
        <f t="shared" si="0"/>
        <v>16824.25</v>
      </c>
      <c r="AB10" s="5">
        <f t="shared" si="0"/>
        <v>4404.7</v>
      </c>
      <c r="AC10" s="5">
        <f t="shared" si="0"/>
        <v>6604</v>
      </c>
      <c r="AD10" s="5">
        <f t="shared" si="0"/>
        <v>24437.59</v>
      </c>
      <c r="AE10" s="5">
        <f t="shared" si="0"/>
        <v>12887.9</v>
      </c>
      <c r="AF10" s="5">
        <f t="shared" si="0"/>
        <v>8726.9699999999993</v>
      </c>
      <c r="AG10" s="5">
        <f t="shared" si="0"/>
        <v>20687.57</v>
      </c>
      <c r="AH10" s="5">
        <f t="shared" si="0"/>
        <v>18194.05</v>
      </c>
      <c r="AI10" s="5">
        <f t="shared" si="0"/>
        <v>15140.89</v>
      </c>
      <c r="AJ10" s="5">
        <f t="shared" si="0"/>
        <v>18329.63</v>
      </c>
      <c r="AK10" s="5">
        <f t="shared" si="0"/>
        <v>10704.17</v>
      </c>
      <c r="AL10" s="5">
        <f t="shared" si="0"/>
        <v>9339.7199999999993</v>
      </c>
      <c r="AM10" s="5">
        <f t="shared" si="0"/>
        <v>10598.05</v>
      </c>
      <c r="AN10" s="5">
        <f t="shared" si="0"/>
        <v>456458.19</v>
      </c>
    </row>
    <row r="11" spans="1:40" x14ac:dyDescent="0.2">
      <c r="A11" t="s">
        <v>93</v>
      </c>
      <c r="B11" t="s">
        <v>93</v>
      </c>
    </row>
    <row r="12" spans="1:40" x14ac:dyDescent="0.2">
      <c r="A12" t="s">
        <v>93</v>
      </c>
      <c r="B12" t="s">
        <v>93</v>
      </c>
      <c r="C12" s="3" t="s">
        <v>42</v>
      </c>
      <c r="D12" s="3">
        <f>D10</f>
        <v>10156.950000000001</v>
      </c>
      <c r="E12" s="3">
        <f t="shared" ref="E12:AM12" si="1">E10</f>
        <v>9307.64</v>
      </c>
      <c r="F12" s="3">
        <f t="shared" si="1"/>
        <v>856.5</v>
      </c>
      <c r="G12" s="3">
        <f t="shared" si="1"/>
        <v>5182.6499999999996</v>
      </c>
      <c r="H12" s="3">
        <f t="shared" si="1"/>
        <v>16226.65</v>
      </c>
      <c r="I12" s="3">
        <f t="shared" si="1"/>
        <v>24914.04</v>
      </c>
      <c r="J12" s="3">
        <f t="shared" si="1"/>
        <v>13528.23</v>
      </c>
      <c r="K12" s="3">
        <f t="shared" si="1"/>
        <v>30296</v>
      </c>
      <c r="L12" s="3">
        <f t="shared" si="1"/>
        <v>19515.95</v>
      </c>
      <c r="M12" s="3">
        <f t="shared" si="1"/>
        <v>15205.59</v>
      </c>
      <c r="N12" s="3">
        <f t="shared" si="1"/>
        <v>10550.04</v>
      </c>
      <c r="O12" s="3">
        <f t="shared" si="1"/>
        <v>13057.26</v>
      </c>
      <c r="P12" s="3">
        <f t="shared" si="1"/>
        <v>6458.45</v>
      </c>
      <c r="Q12" s="3">
        <f t="shared" si="1"/>
        <v>7802.78</v>
      </c>
      <c r="R12" s="3">
        <f t="shared" si="1"/>
        <v>6826.52</v>
      </c>
      <c r="S12" s="3">
        <f t="shared" si="1"/>
        <v>8630.92</v>
      </c>
      <c r="T12" s="3">
        <f t="shared" si="1"/>
        <v>13521.2</v>
      </c>
      <c r="U12" s="3">
        <f t="shared" si="1"/>
        <v>10803.66</v>
      </c>
      <c r="V12" s="3">
        <f t="shared" si="1"/>
        <v>18450.2</v>
      </c>
      <c r="W12" s="3">
        <f t="shared" si="1"/>
        <v>13687.29</v>
      </c>
      <c r="X12" s="3">
        <f t="shared" si="1"/>
        <v>8635.08</v>
      </c>
      <c r="Y12" s="3">
        <f t="shared" si="1"/>
        <v>11723.6</v>
      </c>
      <c r="Z12" s="3">
        <f t="shared" si="1"/>
        <v>4241.5</v>
      </c>
      <c r="AA12" s="3">
        <f t="shared" si="1"/>
        <v>16824.25</v>
      </c>
      <c r="AB12" s="3">
        <f t="shared" si="1"/>
        <v>4404.7</v>
      </c>
      <c r="AC12" s="3">
        <f t="shared" si="1"/>
        <v>6604</v>
      </c>
      <c r="AD12" s="3">
        <f t="shared" si="1"/>
        <v>24437.59</v>
      </c>
      <c r="AE12" s="3">
        <f t="shared" si="1"/>
        <v>12887.9</v>
      </c>
      <c r="AF12" s="3">
        <f t="shared" si="1"/>
        <v>8726.9699999999993</v>
      </c>
      <c r="AG12" s="3">
        <f t="shared" si="1"/>
        <v>20687.57</v>
      </c>
      <c r="AH12" s="3">
        <f t="shared" si="1"/>
        <v>18194.05</v>
      </c>
      <c r="AI12" s="3">
        <f t="shared" si="1"/>
        <v>15140.89</v>
      </c>
      <c r="AJ12" s="3">
        <f t="shared" si="1"/>
        <v>18329.63</v>
      </c>
      <c r="AK12" s="3">
        <f t="shared" si="1"/>
        <v>10704.17</v>
      </c>
      <c r="AL12" s="3">
        <f t="shared" si="1"/>
        <v>9339.7199999999993</v>
      </c>
      <c r="AM12" s="3">
        <f t="shared" si="1"/>
        <v>10598.05</v>
      </c>
      <c r="AN12" s="3">
        <f>AN10</f>
        <v>456458.19</v>
      </c>
    </row>
    <row r="13" spans="1:40" x14ac:dyDescent="0.2">
      <c r="A13" t="s">
        <v>93</v>
      </c>
      <c r="B13" t="s">
        <v>93</v>
      </c>
    </row>
    <row r="14" spans="1:40" x14ac:dyDescent="0.2">
      <c r="A14" s="4" t="s">
        <v>93</v>
      </c>
      <c r="B14" s="20" t="s">
        <v>43</v>
      </c>
      <c r="C14" s="20" t="s">
        <v>93</v>
      </c>
    </row>
    <row r="15" spans="1:40" x14ac:dyDescent="0.2">
      <c r="A15" t="s">
        <v>93</v>
      </c>
      <c r="B15" t="s">
        <v>93</v>
      </c>
    </row>
    <row r="16" spans="1:40" x14ac:dyDescent="0.2">
      <c r="A16" t="s">
        <v>93</v>
      </c>
      <c r="B16" t="s">
        <v>93</v>
      </c>
      <c r="C16" s="6" t="s">
        <v>44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12.1</v>
      </c>
      <c r="AI16" s="7">
        <v>0</v>
      </c>
      <c r="AJ16" s="7">
        <v>12.9</v>
      </c>
      <c r="AK16" s="7">
        <v>0</v>
      </c>
      <c r="AL16" s="7">
        <v>0</v>
      </c>
      <c r="AM16" s="7">
        <v>0</v>
      </c>
      <c r="AN16" s="7">
        <f t="shared" ref="AN16:AN22" si="2">SUM(D16:AM16)</f>
        <v>25</v>
      </c>
    </row>
    <row r="17" spans="1:40" x14ac:dyDescent="0.2">
      <c r="A17" t="s">
        <v>93</v>
      </c>
      <c r="B17" t="s">
        <v>93</v>
      </c>
      <c r="C17" s="6" t="s">
        <v>45</v>
      </c>
      <c r="D17" s="7">
        <v>19.39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621.45000000000005</v>
      </c>
      <c r="R17" s="7">
        <v>46.4</v>
      </c>
      <c r="S17" s="7">
        <v>26</v>
      </c>
      <c r="T17" s="7">
        <v>0</v>
      </c>
      <c r="U17" s="7">
        <v>571.01</v>
      </c>
      <c r="V17" s="7">
        <v>0</v>
      </c>
      <c r="W17" s="7">
        <v>0</v>
      </c>
      <c r="X17" s="7">
        <v>105</v>
      </c>
      <c r="Y17" s="7">
        <v>29.29</v>
      </c>
      <c r="Z17" s="7">
        <v>0</v>
      </c>
      <c r="AA17" s="7">
        <v>0</v>
      </c>
      <c r="AB17" s="7">
        <v>355.73</v>
      </c>
      <c r="AC17" s="7">
        <v>0</v>
      </c>
      <c r="AD17" s="7">
        <v>338.61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105</v>
      </c>
      <c r="AK17" s="7">
        <v>0</v>
      </c>
      <c r="AL17" s="7">
        <v>0</v>
      </c>
      <c r="AM17" s="7">
        <v>594.66</v>
      </c>
      <c r="AN17" s="7">
        <f t="shared" si="2"/>
        <v>2812.54</v>
      </c>
    </row>
    <row r="18" spans="1:40" x14ac:dyDescent="0.2">
      <c r="A18" t="s">
        <v>93</v>
      </c>
      <c r="B18" t="s">
        <v>93</v>
      </c>
      <c r="C18" s="6" t="s">
        <v>46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16.829999999999998</v>
      </c>
      <c r="R18" s="7">
        <v>12.3</v>
      </c>
      <c r="S18" s="7">
        <v>0</v>
      </c>
      <c r="T18" s="7">
        <v>0</v>
      </c>
      <c r="U18" s="7">
        <v>1928.19</v>
      </c>
      <c r="V18" s="7">
        <v>12.54</v>
      </c>
      <c r="W18" s="7">
        <v>11.75</v>
      </c>
      <c r="X18" s="7">
        <v>12.54</v>
      </c>
      <c r="Y18" s="7">
        <v>0</v>
      </c>
      <c r="Z18" s="7">
        <v>0</v>
      </c>
      <c r="AA18" s="7">
        <v>0</v>
      </c>
      <c r="AB18" s="7">
        <v>0</v>
      </c>
      <c r="AC18" s="7">
        <v>3.58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11.69</v>
      </c>
      <c r="AJ18" s="7">
        <v>0</v>
      </c>
      <c r="AK18" s="7">
        <v>0</v>
      </c>
      <c r="AL18" s="7">
        <v>0</v>
      </c>
      <c r="AM18" s="7">
        <v>0</v>
      </c>
      <c r="AN18" s="7">
        <f t="shared" si="2"/>
        <v>2009.42</v>
      </c>
    </row>
    <row r="19" spans="1:40" x14ac:dyDescent="0.2">
      <c r="A19" t="s">
        <v>93</v>
      </c>
      <c r="B19" t="s">
        <v>93</v>
      </c>
      <c r="C19" s="6" t="s">
        <v>47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12.72</v>
      </c>
      <c r="AE19" s="7">
        <v>0</v>
      </c>
      <c r="AF19" s="7">
        <v>0</v>
      </c>
      <c r="AG19" s="7">
        <v>2189.35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f t="shared" si="2"/>
        <v>2202.0699999999997</v>
      </c>
    </row>
    <row r="20" spans="1:40" x14ac:dyDescent="0.2">
      <c r="A20" t="s">
        <v>93</v>
      </c>
      <c r="B20" t="s">
        <v>93</v>
      </c>
      <c r="C20" s="6" t="s">
        <v>48</v>
      </c>
      <c r="D20" s="7">
        <v>109.56</v>
      </c>
      <c r="E20" s="7">
        <v>54.78</v>
      </c>
      <c r="F20" s="7">
        <v>54.78</v>
      </c>
      <c r="G20" s="7">
        <v>54.78</v>
      </c>
      <c r="H20" s="7">
        <v>54.78</v>
      </c>
      <c r="I20" s="7">
        <v>139.44</v>
      </c>
      <c r="J20" s="7">
        <v>139.44</v>
      </c>
      <c r="K20" s="7">
        <v>0</v>
      </c>
      <c r="L20" s="7">
        <v>280.56</v>
      </c>
      <c r="M20" s="7">
        <v>140.86000000000001</v>
      </c>
      <c r="N20" s="7">
        <v>0</v>
      </c>
      <c r="O20" s="7">
        <v>0</v>
      </c>
      <c r="P20" s="7">
        <v>0</v>
      </c>
      <c r="Q20" s="7">
        <v>281.72000000000003</v>
      </c>
      <c r="R20" s="7">
        <v>0</v>
      </c>
      <c r="S20" s="7">
        <v>195.9</v>
      </c>
      <c r="T20" s="7">
        <v>95.04</v>
      </c>
      <c r="U20" s="7">
        <v>140.86000000000001</v>
      </c>
      <c r="V20" s="7">
        <v>95.81</v>
      </c>
      <c r="W20" s="7">
        <v>251.73</v>
      </c>
      <c r="X20" s="7">
        <v>55.81</v>
      </c>
      <c r="Y20" s="7">
        <v>153.77000000000001</v>
      </c>
      <c r="Z20" s="7">
        <v>0</v>
      </c>
      <c r="AA20" s="7">
        <v>0</v>
      </c>
      <c r="AB20" s="7">
        <v>209.58</v>
      </c>
      <c r="AC20" s="7">
        <v>54.78</v>
      </c>
      <c r="AD20" s="7">
        <v>54.78</v>
      </c>
      <c r="AE20" s="7">
        <v>128</v>
      </c>
      <c r="AF20" s="7">
        <v>75</v>
      </c>
      <c r="AG20" s="7">
        <v>139.44</v>
      </c>
      <c r="AH20" s="7">
        <v>139.44</v>
      </c>
      <c r="AI20" s="7">
        <v>0</v>
      </c>
      <c r="AJ20" s="7">
        <v>280.56</v>
      </c>
      <c r="AK20" s="7">
        <v>140.86000000000001</v>
      </c>
      <c r="AL20" s="7">
        <v>75</v>
      </c>
      <c r="AM20" s="7">
        <v>55</v>
      </c>
      <c r="AN20" s="7">
        <f t="shared" si="2"/>
        <v>3652.0600000000004</v>
      </c>
    </row>
    <row r="21" spans="1:40" x14ac:dyDescent="0.2">
      <c r="A21" t="s">
        <v>93</v>
      </c>
      <c r="B21" t="s">
        <v>93</v>
      </c>
      <c r="C21" s="6" t="s">
        <v>49</v>
      </c>
      <c r="D21" s="7">
        <v>172.58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72.989999999999995</v>
      </c>
      <c r="Q21" s="7">
        <v>72.989999999999995</v>
      </c>
      <c r="R21" s="7">
        <v>72.989999999999995</v>
      </c>
      <c r="S21" s="7">
        <v>72.989999999999995</v>
      </c>
      <c r="T21" s="7">
        <v>72.989999999999995</v>
      </c>
      <c r="U21" s="7">
        <v>72.989999999999995</v>
      </c>
      <c r="V21" s="7">
        <v>72.989999999999995</v>
      </c>
      <c r="W21" s="7">
        <v>72.989999999999995</v>
      </c>
      <c r="X21" s="7">
        <v>72.989999999999995</v>
      </c>
      <c r="Y21" s="7">
        <v>72.989999999999995</v>
      </c>
      <c r="Z21" s="7">
        <v>72.989999999999995</v>
      </c>
      <c r="AA21" s="7">
        <v>72.989999999999995</v>
      </c>
      <c r="AB21" s="7">
        <v>72.989999999999995</v>
      </c>
      <c r="AC21" s="7">
        <v>82.99</v>
      </c>
      <c r="AD21" s="7">
        <v>82.99</v>
      </c>
      <c r="AE21" s="7">
        <v>82.99</v>
      </c>
      <c r="AF21" s="7">
        <v>195.96</v>
      </c>
      <c r="AG21" s="7">
        <v>202.99</v>
      </c>
      <c r="AH21" s="7">
        <v>202.99</v>
      </c>
      <c r="AI21" s="7">
        <v>202.99</v>
      </c>
      <c r="AJ21" s="7">
        <v>202.99</v>
      </c>
      <c r="AK21" s="7">
        <v>202.99</v>
      </c>
      <c r="AL21" s="7">
        <v>202.99</v>
      </c>
      <c r="AM21" s="7">
        <v>202.99</v>
      </c>
      <c r="AN21" s="7">
        <f t="shared" si="2"/>
        <v>2987.3099999999995</v>
      </c>
    </row>
    <row r="22" spans="1:40" x14ac:dyDescent="0.2">
      <c r="A22" t="s">
        <v>93</v>
      </c>
      <c r="B22" t="s">
        <v>93</v>
      </c>
      <c r="C22" s="6" t="s">
        <v>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625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f t="shared" si="2"/>
        <v>625</v>
      </c>
    </row>
    <row r="23" spans="1:40" x14ac:dyDescent="0.2">
      <c r="A23" t="s">
        <v>93</v>
      </c>
      <c r="B23" t="s">
        <v>93</v>
      </c>
      <c r="C23" s="5" t="s">
        <v>51</v>
      </c>
      <c r="D23" s="5">
        <f t="shared" ref="D23:AN23" si="3">SUM(D16:D22)</f>
        <v>301.52999999999997</v>
      </c>
      <c r="E23" s="5">
        <f t="shared" si="3"/>
        <v>54.78</v>
      </c>
      <c r="F23" s="5">
        <f t="shared" si="3"/>
        <v>54.78</v>
      </c>
      <c r="G23" s="5">
        <f t="shared" si="3"/>
        <v>54.78</v>
      </c>
      <c r="H23" s="5">
        <f t="shared" si="3"/>
        <v>54.78</v>
      </c>
      <c r="I23" s="5">
        <f t="shared" si="3"/>
        <v>139.44</v>
      </c>
      <c r="J23" s="5">
        <f t="shared" si="3"/>
        <v>139.44</v>
      </c>
      <c r="K23" s="5">
        <f t="shared" si="3"/>
        <v>0</v>
      </c>
      <c r="L23" s="5">
        <f t="shared" si="3"/>
        <v>280.56</v>
      </c>
      <c r="M23" s="5">
        <f t="shared" si="3"/>
        <v>140.86000000000001</v>
      </c>
      <c r="N23" s="5">
        <f t="shared" si="3"/>
        <v>0</v>
      </c>
      <c r="O23" s="5">
        <f t="shared" si="3"/>
        <v>0</v>
      </c>
      <c r="P23" s="5">
        <f t="shared" si="3"/>
        <v>72.989999999999995</v>
      </c>
      <c r="Q23" s="5">
        <f t="shared" si="3"/>
        <v>992.99000000000012</v>
      </c>
      <c r="R23" s="5">
        <f t="shared" si="3"/>
        <v>131.69</v>
      </c>
      <c r="S23" s="5">
        <f t="shared" si="3"/>
        <v>294.89</v>
      </c>
      <c r="T23" s="5">
        <f t="shared" si="3"/>
        <v>168.03</v>
      </c>
      <c r="U23" s="5">
        <f t="shared" si="3"/>
        <v>2713.0499999999997</v>
      </c>
      <c r="V23" s="5">
        <f t="shared" si="3"/>
        <v>181.33999999999997</v>
      </c>
      <c r="W23" s="5">
        <f t="shared" si="3"/>
        <v>336.47</v>
      </c>
      <c r="X23" s="5">
        <f t="shared" si="3"/>
        <v>246.33999999999997</v>
      </c>
      <c r="Y23" s="5">
        <f t="shared" si="3"/>
        <v>256.05</v>
      </c>
      <c r="Z23" s="5">
        <f t="shared" si="3"/>
        <v>72.989999999999995</v>
      </c>
      <c r="AA23" s="5">
        <f t="shared" si="3"/>
        <v>72.989999999999995</v>
      </c>
      <c r="AB23" s="5">
        <f t="shared" si="3"/>
        <v>1263.3000000000002</v>
      </c>
      <c r="AC23" s="5">
        <f t="shared" si="3"/>
        <v>141.35</v>
      </c>
      <c r="AD23" s="5">
        <f t="shared" si="3"/>
        <v>489.1</v>
      </c>
      <c r="AE23" s="5">
        <f t="shared" si="3"/>
        <v>210.99</v>
      </c>
      <c r="AF23" s="5">
        <f t="shared" si="3"/>
        <v>270.96000000000004</v>
      </c>
      <c r="AG23" s="5">
        <f t="shared" si="3"/>
        <v>2531.7799999999997</v>
      </c>
      <c r="AH23" s="5">
        <f t="shared" si="3"/>
        <v>354.53</v>
      </c>
      <c r="AI23" s="5">
        <f t="shared" si="3"/>
        <v>214.68</v>
      </c>
      <c r="AJ23" s="5">
        <f t="shared" si="3"/>
        <v>601.45000000000005</v>
      </c>
      <c r="AK23" s="5">
        <f t="shared" si="3"/>
        <v>343.85</v>
      </c>
      <c r="AL23" s="5">
        <f t="shared" si="3"/>
        <v>277.99</v>
      </c>
      <c r="AM23" s="5">
        <f t="shared" si="3"/>
        <v>852.65</v>
      </c>
      <c r="AN23" s="5">
        <f t="shared" si="3"/>
        <v>14313.4</v>
      </c>
    </row>
    <row r="24" spans="1:40" x14ac:dyDescent="0.2">
      <c r="A24" t="s">
        <v>93</v>
      </c>
      <c r="B24" t="s">
        <v>93</v>
      </c>
    </row>
    <row r="25" spans="1:40" x14ac:dyDescent="0.2">
      <c r="A25" t="s">
        <v>93</v>
      </c>
      <c r="B25" t="s">
        <v>93</v>
      </c>
      <c r="C25" s="6" t="s">
        <v>52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14.54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f t="shared" ref="AN25:AN36" si="4">SUM(D25:AM25)</f>
        <v>14.54</v>
      </c>
    </row>
    <row r="26" spans="1:40" x14ac:dyDescent="0.2">
      <c r="A26" t="s">
        <v>93</v>
      </c>
      <c r="B26" t="s">
        <v>93</v>
      </c>
      <c r="C26" s="6" t="s">
        <v>53</v>
      </c>
      <c r="D26" s="7">
        <v>4303.16</v>
      </c>
      <c r="E26" s="7">
        <v>1010</v>
      </c>
      <c r="F26" s="7">
        <v>700</v>
      </c>
      <c r="G26" s="7">
        <v>390</v>
      </c>
      <c r="H26" s="7">
        <v>1932.35</v>
      </c>
      <c r="I26" s="7">
        <v>3260</v>
      </c>
      <c r="J26" s="7">
        <v>2490</v>
      </c>
      <c r="K26" s="7">
        <v>3225</v>
      </c>
      <c r="L26" s="7">
        <v>1190</v>
      </c>
      <c r="M26" s="7">
        <v>2310</v>
      </c>
      <c r="N26" s="7">
        <v>477.5</v>
      </c>
      <c r="O26" s="7">
        <v>1910</v>
      </c>
      <c r="P26" s="7">
        <v>3240</v>
      </c>
      <c r="Q26" s="7">
        <v>2550</v>
      </c>
      <c r="R26" s="7">
        <v>1450</v>
      </c>
      <c r="S26" s="7">
        <v>2200</v>
      </c>
      <c r="T26" s="7">
        <v>1440</v>
      </c>
      <c r="U26" s="7">
        <v>1450</v>
      </c>
      <c r="V26" s="7">
        <v>2850</v>
      </c>
      <c r="W26" s="7">
        <v>1910</v>
      </c>
      <c r="X26" s="7">
        <v>1900</v>
      </c>
      <c r="Y26" s="7">
        <v>1780</v>
      </c>
      <c r="Z26" s="7">
        <v>780</v>
      </c>
      <c r="AA26" s="7">
        <v>2450</v>
      </c>
      <c r="AB26" s="7">
        <v>1350</v>
      </c>
      <c r="AC26" s="7">
        <v>875</v>
      </c>
      <c r="AD26" s="7">
        <v>2650</v>
      </c>
      <c r="AE26" s="7">
        <v>1420</v>
      </c>
      <c r="AF26" s="7">
        <v>1410</v>
      </c>
      <c r="AG26" s="7">
        <v>2850</v>
      </c>
      <c r="AH26" s="7">
        <v>2550</v>
      </c>
      <c r="AI26" s="7">
        <v>2140</v>
      </c>
      <c r="AJ26" s="7">
        <v>2450</v>
      </c>
      <c r="AK26" s="7">
        <v>1860</v>
      </c>
      <c r="AL26" s="7">
        <v>1760</v>
      </c>
      <c r="AM26" s="7">
        <v>1810</v>
      </c>
      <c r="AN26" s="7">
        <f t="shared" si="4"/>
        <v>70323.010000000009</v>
      </c>
    </row>
    <row r="27" spans="1:40" x14ac:dyDescent="0.2">
      <c r="A27" t="s">
        <v>93</v>
      </c>
      <c r="B27" t="s">
        <v>93</v>
      </c>
      <c r="C27" s="6" t="s">
        <v>54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2879.52</v>
      </c>
      <c r="Q27" s="7">
        <v>-500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f t="shared" si="4"/>
        <v>2379.52</v>
      </c>
    </row>
    <row r="28" spans="1:40" x14ac:dyDescent="0.2">
      <c r="A28" t="s">
        <v>93</v>
      </c>
      <c r="B28" t="s">
        <v>93</v>
      </c>
      <c r="C28" s="6" t="s">
        <v>55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139.99</v>
      </c>
      <c r="J28" s="7">
        <v>2156.38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145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f t="shared" si="4"/>
        <v>2441.37</v>
      </c>
    </row>
    <row r="29" spans="1:40" x14ac:dyDescent="0.2">
      <c r="A29" t="s">
        <v>93</v>
      </c>
      <c r="B29" t="s">
        <v>93</v>
      </c>
      <c r="C29" s="6" t="s">
        <v>56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241.16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f t="shared" si="4"/>
        <v>241.16</v>
      </c>
    </row>
    <row r="30" spans="1:40" x14ac:dyDescent="0.2">
      <c r="A30" t="s">
        <v>93</v>
      </c>
      <c r="B30" t="s">
        <v>93</v>
      </c>
      <c r="C30" s="6" t="s">
        <v>57</v>
      </c>
      <c r="D30" s="7">
        <v>0</v>
      </c>
      <c r="E30" s="7">
        <v>0</v>
      </c>
      <c r="F30" s="7">
        <v>62.5</v>
      </c>
      <c r="G30" s="7">
        <v>533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100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500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f t="shared" si="4"/>
        <v>1195.5</v>
      </c>
    </row>
    <row r="31" spans="1:40" x14ac:dyDescent="0.2">
      <c r="A31" t="s">
        <v>93</v>
      </c>
      <c r="B31" t="s">
        <v>93</v>
      </c>
      <c r="C31" s="6" t="s">
        <v>58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129.87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736.8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108.24</v>
      </c>
      <c r="AL31" s="7">
        <v>0</v>
      </c>
      <c r="AM31" s="7">
        <v>0</v>
      </c>
      <c r="AN31" s="7">
        <f t="shared" si="4"/>
        <v>974.91</v>
      </c>
    </row>
    <row r="32" spans="1:40" x14ac:dyDescent="0.2">
      <c r="A32" t="s">
        <v>93</v>
      </c>
      <c r="B32" t="s">
        <v>93</v>
      </c>
      <c r="C32" s="6" t="s">
        <v>59</v>
      </c>
      <c r="D32" s="7">
        <v>0</v>
      </c>
      <c r="E32" s="7">
        <v>0</v>
      </c>
      <c r="F32" s="7">
        <v>0</v>
      </c>
      <c r="G32" s="7">
        <v>180</v>
      </c>
      <c r="H32" s="7">
        <v>150</v>
      </c>
      <c r="I32" s="7">
        <v>3520</v>
      </c>
      <c r="J32" s="7">
        <v>100</v>
      </c>
      <c r="K32" s="7">
        <v>360</v>
      </c>
      <c r="L32" s="7">
        <v>2534.7800000000002</v>
      </c>
      <c r="M32" s="7">
        <v>140</v>
      </c>
      <c r="N32" s="7">
        <v>125</v>
      </c>
      <c r="O32" s="7">
        <v>0</v>
      </c>
      <c r="P32" s="7">
        <v>0</v>
      </c>
      <c r="Q32" s="7">
        <v>0</v>
      </c>
      <c r="R32" s="7">
        <v>0</v>
      </c>
      <c r="S32" s="7">
        <v>1000</v>
      </c>
      <c r="T32" s="7">
        <v>160</v>
      </c>
      <c r="U32" s="7">
        <v>990</v>
      </c>
      <c r="V32" s="7">
        <v>1680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379.15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f t="shared" si="4"/>
        <v>11318.93</v>
      </c>
    </row>
    <row r="33" spans="1:40" x14ac:dyDescent="0.2">
      <c r="A33" t="s">
        <v>93</v>
      </c>
      <c r="B33" t="s">
        <v>93</v>
      </c>
      <c r="C33" s="6" t="s">
        <v>60</v>
      </c>
      <c r="D33" s="7">
        <v>500</v>
      </c>
      <c r="E33" s="7">
        <v>508.39</v>
      </c>
      <c r="F33" s="7">
        <v>125</v>
      </c>
      <c r="G33" s="7">
        <v>250</v>
      </c>
      <c r="H33" s="7">
        <v>250</v>
      </c>
      <c r="I33" s="7">
        <v>250</v>
      </c>
      <c r="J33" s="7">
        <v>250</v>
      </c>
      <c r="K33" s="7">
        <v>250</v>
      </c>
      <c r="L33" s="7">
        <v>250</v>
      </c>
      <c r="M33" s="7">
        <v>250</v>
      </c>
      <c r="N33" s="7">
        <v>250</v>
      </c>
      <c r="O33" s="7">
        <v>500</v>
      </c>
      <c r="P33" s="7">
        <v>0</v>
      </c>
      <c r="Q33" s="7">
        <v>0</v>
      </c>
      <c r="R33" s="7">
        <v>290</v>
      </c>
      <c r="S33" s="7">
        <v>290</v>
      </c>
      <c r="T33" s="7">
        <v>250</v>
      </c>
      <c r="U33" s="7">
        <v>0</v>
      </c>
      <c r="V33" s="7">
        <v>290</v>
      </c>
      <c r="W33" s="7">
        <v>290</v>
      </c>
      <c r="X33" s="7">
        <v>580</v>
      </c>
      <c r="Y33" s="7">
        <v>0</v>
      </c>
      <c r="Z33" s="7">
        <v>290</v>
      </c>
      <c r="AA33" s="7">
        <v>290</v>
      </c>
      <c r="AB33" s="7">
        <v>290</v>
      </c>
      <c r="AC33" s="7">
        <v>290</v>
      </c>
      <c r="AD33" s="7">
        <v>290</v>
      </c>
      <c r="AE33" s="7">
        <v>290</v>
      </c>
      <c r="AF33" s="7">
        <v>290</v>
      </c>
      <c r="AG33" s="7">
        <v>290</v>
      </c>
      <c r="AH33" s="7">
        <v>290</v>
      </c>
      <c r="AI33" s="7">
        <v>290</v>
      </c>
      <c r="AJ33" s="7">
        <v>290</v>
      </c>
      <c r="AK33" s="7">
        <v>290</v>
      </c>
      <c r="AL33" s="7">
        <v>290</v>
      </c>
      <c r="AM33" s="7">
        <v>290</v>
      </c>
      <c r="AN33" s="7">
        <f t="shared" si="4"/>
        <v>9683.39</v>
      </c>
    </row>
    <row r="34" spans="1:40" x14ac:dyDescent="0.2">
      <c r="A34" t="s">
        <v>93</v>
      </c>
      <c r="B34" t="s">
        <v>93</v>
      </c>
      <c r="C34" s="6" t="s">
        <v>61</v>
      </c>
      <c r="D34" s="7">
        <v>0</v>
      </c>
      <c r="E34" s="7">
        <v>0</v>
      </c>
      <c r="F34" s="7">
        <v>262.5</v>
      </c>
      <c r="G34" s="7">
        <v>0</v>
      </c>
      <c r="H34" s="7">
        <v>0</v>
      </c>
      <c r="I34" s="7">
        <v>0</v>
      </c>
      <c r="J34" s="7">
        <v>1105.0899999999999</v>
      </c>
      <c r="K34" s="7">
        <v>0</v>
      </c>
      <c r="L34" s="7">
        <v>0</v>
      </c>
      <c r="M34" s="7">
        <v>35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106.35</v>
      </c>
      <c r="W34" s="7">
        <v>150.53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325</v>
      </c>
      <c r="AD34" s="7">
        <v>0</v>
      </c>
      <c r="AE34" s="7">
        <v>0</v>
      </c>
      <c r="AF34" s="7">
        <v>0</v>
      </c>
      <c r="AG34" s="7">
        <v>42.02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f t="shared" si="4"/>
        <v>2026.4899999999998</v>
      </c>
    </row>
    <row r="35" spans="1:40" x14ac:dyDescent="0.2">
      <c r="A35" t="s">
        <v>93</v>
      </c>
      <c r="B35" t="s">
        <v>93</v>
      </c>
      <c r="C35" s="6" t="s">
        <v>62</v>
      </c>
      <c r="D35" s="7">
        <v>1389.81</v>
      </c>
      <c r="E35" s="7">
        <v>352.27</v>
      </c>
      <c r="F35" s="7">
        <v>80</v>
      </c>
      <c r="G35" s="7">
        <v>200</v>
      </c>
      <c r="H35" s="7">
        <v>293.83999999999997</v>
      </c>
      <c r="I35" s="7">
        <v>0</v>
      </c>
      <c r="J35" s="7">
        <v>80</v>
      </c>
      <c r="K35" s="7">
        <v>195</v>
      </c>
      <c r="L35" s="7">
        <v>0</v>
      </c>
      <c r="M35" s="7">
        <v>184.02</v>
      </c>
      <c r="N35" s="7">
        <v>92.66</v>
      </c>
      <c r="O35" s="7">
        <v>62</v>
      </c>
      <c r="P35" s="7">
        <v>0</v>
      </c>
      <c r="Q35" s="7">
        <v>180</v>
      </c>
      <c r="R35" s="7">
        <v>40</v>
      </c>
      <c r="S35" s="7">
        <v>200</v>
      </c>
      <c r="T35" s="7">
        <v>0</v>
      </c>
      <c r="U35" s="7">
        <v>0</v>
      </c>
      <c r="V35" s="7">
        <v>40</v>
      </c>
      <c r="W35" s="7">
        <v>277.2</v>
      </c>
      <c r="X35" s="7">
        <v>0</v>
      </c>
      <c r="Y35" s="7">
        <v>0</v>
      </c>
      <c r="Z35" s="7">
        <v>0</v>
      </c>
      <c r="AA35" s="7">
        <v>258</v>
      </c>
      <c r="AB35" s="7">
        <v>0</v>
      </c>
      <c r="AC35" s="7">
        <v>424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f t="shared" si="4"/>
        <v>4348.7999999999993</v>
      </c>
    </row>
    <row r="36" spans="1:40" x14ac:dyDescent="0.2">
      <c r="A36" t="s">
        <v>93</v>
      </c>
      <c r="B36" t="s">
        <v>93</v>
      </c>
      <c r="C36" s="6" t="s">
        <v>63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60</v>
      </c>
      <c r="K36" s="7">
        <v>0</v>
      </c>
      <c r="L36" s="7">
        <v>0</v>
      </c>
      <c r="M36" s="7">
        <v>189.24</v>
      </c>
      <c r="N36" s="7">
        <v>0</v>
      </c>
      <c r="O36" s="7">
        <v>183.54</v>
      </c>
      <c r="P36" s="7">
        <v>48.56</v>
      </c>
      <c r="Q36" s="7">
        <v>353.58</v>
      </c>
      <c r="R36" s="7">
        <v>138.72</v>
      </c>
      <c r="S36" s="7">
        <v>159.28</v>
      </c>
      <c r="T36" s="7">
        <v>0</v>
      </c>
      <c r="U36" s="7">
        <v>168.31</v>
      </c>
      <c r="V36" s="7">
        <v>167.54</v>
      </c>
      <c r="W36" s="7">
        <v>75.53</v>
      </c>
      <c r="X36" s="7">
        <v>0</v>
      </c>
      <c r="Y36" s="7">
        <v>241</v>
      </c>
      <c r="Z36" s="7">
        <v>0</v>
      </c>
      <c r="AA36" s="7">
        <v>847.21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32.159999999999997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230.14</v>
      </c>
      <c r="AN36" s="7">
        <f t="shared" si="4"/>
        <v>2894.81</v>
      </c>
    </row>
    <row r="37" spans="1:40" x14ac:dyDescent="0.2">
      <c r="A37" t="s">
        <v>93</v>
      </c>
      <c r="B37" t="s">
        <v>93</v>
      </c>
      <c r="C37" s="5" t="s">
        <v>64</v>
      </c>
      <c r="D37" s="5">
        <f t="shared" ref="D37:AN37" si="5">SUM(D25:D36)</f>
        <v>6192.9699999999993</v>
      </c>
      <c r="E37" s="5">
        <f t="shared" si="5"/>
        <v>1870.6599999999999</v>
      </c>
      <c r="F37" s="5">
        <f t="shared" si="5"/>
        <v>1230</v>
      </c>
      <c r="G37" s="5">
        <f t="shared" si="5"/>
        <v>1553</v>
      </c>
      <c r="H37" s="5">
        <f t="shared" si="5"/>
        <v>2626.19</v>
      </c>
      <c r="I37" s="5">
        <f t="shared" si="5"/>
        <v>7169.99</v>
      </c>
      <c r="J37" s="5">
        <f t="shared" si="5"/>
        <v>6241.47</v>
      </c>
      <c r="K37" s="5">
        <f t="shared" si="5"/>
        <v>4030</v>
      </c>
      <c r="L37" s="5">
        <f t="shared" si="5"/>
        <v>3974.78</v>
      </c>
      <c r="M37" s="5">
        <f t="shared" si="5"/>
        <v>3338.13</v>
      </c>
      <c r="N37" s="5">
        <f t="shared" si="5"/>
        <v>945.16</v>
      </c>
      <c r="O37" s="5">
        <f t="shared" si="5"/>
        <v>2655.54</v>
      </c>
      <c r="P37" s="5">
        <f t="shared" si="5"/>
        <v>6168.0800000000008</v>
      </c>
      <c r="Q37" s="5">
        <f t="shared" si="5"/>
        <v>2583.58</v>
      </c>
      <c r="R37" s="5">
        <f t="shared" si="5"/>
        <v>1918.72</v>
      </c>
      <c r="S37" s="5">
        <f t="shared" si="5"/>
        <v>3849.28</v>
      </c>
      <c r="T37" s="5">
        <f t="shared" si="5"/>
        <v>1850</v>
      </c>
      <c r="U37" s="5">
        <f t="shared" si="5"/>
        <v>2608.31</v>
      </c>
      <c r="V37" s="5">
        <f t="shared" si="5"/>
        <v>5633.89</v>
      </c>
      <c r="W37" s="5">
        <f t="shared" si="5"/>
        <v>2848.26</v>
      </c>
      <c r="X37" s="5">
        <f t="shared" si="5"/>
        <v>2480</v>
      </c>
      <c r="Y37" s="5">
        <f t="shared" si="5"/>
        <v>2021</v>
      </c>
      <c r="Z37" s="5">
        <f t="shared" si="5"/>
        <v>1070</v>
      </c>
      <c r="AA37" s="5">
        <f t="shared" si="5"/>
        <v>3845.21</v>
      </c>
      <c r="AB37" s="5">
        <f t="shared" si="5"/>
        <v>1881.16</v>
      </c>
      <c r="AC37" s="5">
        <f t="shared" si="5"/>
        <v>1914</v>
      </c>
      <c r="AD37" s="5">
        <f t="shared" si="5"/>
        <v>3676.8</v>
      </c>
      <c r="AE37" s="5">
        <f t="shared" si="5"/>
        <v>1724.54</v>
      </c>
      <c r="AF37" s="5">
        <f t="shared" si="5"/>
        <v>2079.15</v>
      </c>
      <c r="AG37" s="5">
        <f t="shared" si="5"/>
        <v>3214.18</v>
      </c>
      <c r="AH37" s="5">
        <f t="shared" si="5"/>
        <v>2840</v>
      </c>
      <c r="AI37" s="5">
        <f t="shared" si="5"/>
        <v>2430</v>
      </c>
      <c r="AJ37" s="5">
        <f t="shared" si="5"/>
        <v>2740</v>
      </c>
      <c r="AK37" s="5">
        <f t="shared" si="5"/>
        <v>2258.2399999999998</v>
      </c>
      <c r="AL37" s="5">
        <f t="shared" si="5"/>
        <v>2050</v>
      </c>
      <c r="AM37" s="5">
        <f t="shared" si="5"/>
        <v>2330.14</v>
      </c>
      <c r="AN37" s="5">
        <f t="shared" si="5"/>
        <v>107842.43000000001</v>
      </c>
    </row>
    <row r="38" spans="1:40" x14ac:dyDescent="0.2">
      <c r="A38" t="s">
        <v>93</v>
      </c>
      <c r="B38" t="s">
        <v>93</v>
      </c>
    </row>
    <row r="39" spans="1:40" x14ac:dyDescent="0.2">
      <c r="A39" t="s">
        <v>93</v>
      </c>
      <c r="B39" t="s">
        <v>93</v>
      </c>
      <c r="C39" s="6" t="s">
        <v>65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3.99</v>
      </c>
      <c r="AG39" s="7">
        <v>0</v>
      </c>
      <c r="AH39" s="7">
        <v>13.92</v>
      </c>
      <c r="AI39" s="7">
        <v>0</v>
      </c>
      <c r="AJ39" s="7">
        <v>0</v>
      </c>
      <c r="AK39" s="7">
        <v>0</v>
      </c>
      <c r="AL39" s="7">
        <v>0</v>
      </c>
      <c r="AM39" s="7">
        <v>6</v>
      </c>
      <c r="AN39" s="7">
        <f t="shared" ref="AN39:AN46" si="6">SUM(D39:AM39)</f>
        <v>23.91</v>
      </c>
    </row>
    <row r="40" spans="1:40" x14ac:dyDescent="0.2">
      <c r="A40" t="s">
        <v>93</v>
      </c>
      <c r="B40" t="s">
        <v>93</v>
      </c>
      <c r="C40" s="6" t="s">
        <v>66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60</v>
      </c>
      <c r="V40" s="7">
        <v>345.66</v>
      </c>
      <c r="W40" s="7">
        <v>384.35</v>
      </c>
      <c r="X40" s="7">
        <v>23.11</v>
      </c>
      <c r="Y40" s="7">
        <v>0</v>
      </c>
      <c r="Z40" s="7">
        <v>0</v>
      </c>
      <c r="AA40" s="7">
        <v>0</v>
      </c>
      <c r="AB40" s="7">
        <v>0</v>
      </c>
      <c r="AC40" s="7">
        <v>-90.93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f t="shared" si="6"/>
        <v>722.19</v>
      </c>
    </row>
    <row r="41" spans="1:40" x14ac:dyDescent="0.2">
      <c r="A41" t="s">
        <v>93</v>
      </c>
      <c r="B41" t="s">
        <v>93</v>
      </c>
      <c r="C41" s="6" t="s">
        <v>67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184.87</v>
      </c>
      <c r="AB41" s="7">
        <v>0</v>
      </c>
      <c r="AC41" s="7">
        <v>0</v>
      </c>
      <c r="AD41" s="7">
        <v>0</v>
      </c>
      <c r="AE41" s="7">
        <v>0</v>
      </c>
      <c r="AF41" s="7">
        <v>30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f t="shared" si="6"/>
        <v>214.87</v>
      </c>
    </row>
    <row r="42" spans="1:40" x14ac:dyDescent="0.2">
      <c r="A42" t="s">
        <v>93</v>
      </c>
      <c r="B42" t="s">
        <v>93</v>
      </c>
      <c r="C42" s="6" t="s">
        <v>68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38.94</v>
      </c>
      <c r="AB42" s="7">
        <v>0</v>
      </c>
      <c r="AC42" s="7">
        <v>0</v>
      </c>
      <c r="AD42" s="7">
        <v>0</v>
      </c>
      <c r="AE42" s="7">
        <v>0</v>
      </c>
      <c r="AF42" s="7">
        <v>145.38</v>
      </c>
      <c r="AG42" s="7">
        <v>17.18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f t="shared" si="6"/>
        <v>201.5</v>
      </c>
    </row>
    <row r="43" spans="1:40" x14ac:dyDescent="0.2">
      <c r="A43" t="s">
        <v>93</v>
      </c>
      <c r="B43" t="s">
        <v>93</v>
      </c>
      <c r="C43" s="6" t="s">
        <v>69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20</v>
      </c>
      <c r="S43" s="7">
        <v>45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f t="shared" si="6"/>
        <v>65</v>
      </c>
    </row>
    <row r="44" spans="1:40" x14ac:dyDescent="0.2">
      <c r="A44" t="s">
        <v>93</v>
      </c>
      <c r="B44" t="s">
        <v>93</v>
      </c>
      <c r="C44" s="6" t="s">
        <v>70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101</v>
      </c>
      <c r="M44" s="7">
        <v>273.64999999999998</v>
      </c>
      <c r="N44" s="7">
        <v>332.43</v>
      </c>
      <c r="O44" s="7">
        <v>449.65</v>
      </c>
      <c r="P44" s="7">
        <v>174.11</v>
      </c>
      <c r="Q44" s="7">
        <v>177.98</v>
      </c>
      <c r="R44" s="7">
        <v>190.1</v>
      </c>
      <c r="S44" s="7">
        <v>192.1</v>
      </c>
      <c r="T44" s="7">
        <v>192.1</v>
      </c>
      <c r="U44" s="7">
        <v>195.43</v>
      </c>
      <c r="V44" s="7">
        <v>192.1</v>
      </c>
      <c r="W44" s="7">
        <v>124.09</v>
      </c>
      <c r="X44" s="7">
        <v>192.1</v>
      </c>
      <c r="Y44" s="7">
        <v>192.1</v>
      </c>
      <c r="Z44" s="7">
        <v>192.1</v>
      </c>
      <c r="AA44" s="7">
        <v>431.12</v>
      </c>
      <c r="AB44" s="7">
        <v>192.1</v>
      </c>
      <c r="AC44" s="7">
        <v>192.1</v>
      </c>
      <c r="AD44" s="7">
        <v>192.1</v>
      </c>
      <c r="AE44" s="7">
        <v>78.98</v>
      </c>
      <c r="AF44" s="7">
        <v>78.98</v>
      </c>
      <c r="AG44" s="7">
        <v>42.98</v>
      </c>
      <c r="AH44" s="7">
        <v>78.98</v>
      </c>
      <c r="AI44" s="7">
        <v>202.98</v>
      </c>
      <c r="AJ44" s="7">
        <v>78.98</v>
      </c>
      <c r="AK44" s="7">
        <v>42.98</v>
      </c>
      <c r="AL44" s="7">
        <v>192.1</v>
      </c>
      <c r="AM44" s="7">
        <v>186.1</v>
      </c>
      <c r="AN44" s="7">
        <f t="shared" si="6"/>
        <v>5161.5199999999968</v>
      </c>
    </row>
    <row r="45" spans="1:40" x14ac:dyDescent="0.2">
      <c r="A45" t="s">
        <v>93</v>
      </c>
      <c r="B45" t="s">
        <v>93</v>
      </c>
      <c r="C45" s="6" t="s">
        <v>71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-1.01</v>
      </c>
      <c r="U45" s="7">
        <v>0</v>
      </c>
      <c r="V45" s="7">
        <v>5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f t="shared" si="6"/>
        <v>3.99</v>
      </c>
    </row>
    <row r="46" spans="1:40" x14ac:dyDescent="0.2">
      <c r="A46" t="s">
        <v>93</v>
      </c>
      <c r="B46" t="s">
        <v>93</v>
      </c>
      <c r="C46" s="6" t="s">
        <v>72</v>
      </c>
      <c r="D46" s="7">
        <v>0</v>
      </c>
      <c r="E46" s="7">
        <v>0</v>
      </c>
      <c r="F46" s="7">
        <v>0</v>
      </c>
      <c r="G46" s="7">
        <v>0</v>
      </c>
      <c r="H46" s="7">
        <v>116.55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100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f t="shared" si="6"/>
        <v>216.55</v>
      </c>
    </row>
    <row r="47" spans="1:40" x14ac:dyDescent="0.2">
      <c r="A47" t="s">
        <v>93</v>
      </c>
      <c r="B47" t="s">
        <v>93</v>
      </c>
      <c r="C47" s="5" t="s">
        <v>73</v>
      </c>
      <c r="D47" s="5">
        <f t="shared" ref="D47:AN47" si="7">SUM(D39:D46)</f>
        <v>0</v>
      </c>
      <c r="E47" s="5">
        <f t="shared" si="7"/>
        <v>0</v>
      </c>
      <c r="F47" s="5">
        <f t="shared" si="7"/>
        <v>0</v>
      </c>
      <c r="G47" s="5">
        <f t="shared" si="7"/>
        <v>0</v>
      </c>
      <c r="H47" s="5">
        <f t="shared" si="7"/>
        <v>116.55</v>
      </c>
      <c r="I47" s="5">
        <f t="shared" si="7"/>
        <v>0</v>
      </c>
      <c r="J47" s="5">
        <f t="shared" si="7"/>
        <v>0</v>
      </c>
      <c r="K47" s="5">
        <f t="shared" si="7"/>
        <v>0</v>
      </c>
      <c r="L47" s="5">
        <f t="shared" si="7"/>
        <v>101</v>
      </c>
      <c r="M47" s="5">
        <f t="shared" si="7"/>
        <v>273.64999999999998</v>
      </c>
      <c r="N47" s="5">
        <f t="shared" si="7"/>
        <v>332.43</v>
      </c>
      <c r="O47" s="5">
        <f t="shared" si="7"/>
        <v>449.65</v>
      </c>
      <c r="P47" s="5">
        <f t="shared" si="7"/>
        <v>174.11</v>
      </c>
      <c r="Q47" s="5">
        <f t="shared" si="7"/>
        <v>177.98</v>
      </c>
      <c r="R47" s="5">
        <f t="shared" si="7"/>
        <v>210.1</v>
      </c>
      <c r="S47" s="5">
        <f t="shared" si="7"/>
        <v>237.1</v>
      </c>
      <c r="T47" s="5">
        <f t="shared" si="7"/>
        <v>191.09</v>
      </c>
      <c r="U47" s="5">
        <f t="shared" si="7"/>
        <v>255.43</v>
      </c>
      <c r="V47" s="5">
        <f t="shared" si="7"/>
        <v>542.76</v>
      </c>
      <c r="W47" s="5">
        <f t="shared" si="7"/>
        <v>508.44000000000005</v>
      </c>
      <c r="X47" s="5">
        <f t="shared" si="7"/>
        <v>215.20999999999998</v>
      </c>
      <c r="Y47" s="5">
        <f t="shared" si="7"/>
        <v>192.1</v>
      </c>
      <c r="Z47" s="5">
        <f t="shared" si="7"/>
        <v>192.1</v>
      </c>
      <c r="AA47" s="5">
        <f t="shared" si="7"/>
        <v>654.93000000000006</v>
      </c>
      <c r="AB47" s="5">
        <f t="shared" si="7"/>
        <v>192.1</v>
      </c>
      <c r="AC47" s="5">
        <f t="shared" si="7"/>
        <v>101.16999999999999</v>
      </c>
      <c r="AD47" s="5">
        <f t="shared" si="7"/>
        <v>192.1</v>
      </c>
      <c r="AE47" s="5">
        <f t="shared" si="7"/>
        <v>78.98</v>
      </c>
      <c r="AF47" s="5">
        <f t="shared" si="7"/>
        <v>358.35</v>
      </c>
      <c r="AG47" s="5">
        <f t="shared" si="7"/>
        <v>60.16</v>
      </c>
      <c r="AH47" s="5">
        <f t="shared" si="7"/>
        <v>92.9</v>
      </c>
      <c r="AI47" s="5">
        <f t="shared" si="7"/>
        <v>202.98</v>
      </c>
      <c r="AJ47" s="5">
        <f t="shared" si="7"/>
        <v>78.98</v>
      </c>
      <c r="AK47" s="5">
        <f t="shared" si="7"/>
        <v>42.98</v>
      </c>
      <c r="AL47" s="5">
        <f t="shared" si="7"/>
        <v>192.1</v>
      </c>
      <c r="AM47" s="5">
        <f t="shared" si="7"/>
        <v>192.1</v>
      </c>
      <c r="AN47" s="5">
        <f t="shared" si="7"/>
        <v>6609.529999999997</v>
      </c>
    </row>
    <row r="48" spans="1:40" x14ac:dyDescent="0.2">
      <c r="A48" t="s">
        <v>93</v>
      </c>
      <c r="B48" t="s">
        <v>93</v>
      </c>
    </row>
    <row r="49" spans="1:40" x14ac:dyDescent="0.2">
      <c r="A49" t="s">
        <v>93</v>
      </c>
      <c r="B49" t="s">
        <v>93</v>
      </c>
      <c r="C49" s="6" t="s">
        <v>74</v>
      </c>
      <c r="D49" s="7">
        <v>0</v>
      </c>
      <c r="E49" s="7">
        <v>80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154.44999999999999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f>SUM(D49:AM49)</f>
        <v>234.45</v>
      </c>
    </row>
    <row r="50" spans="1:40" x14ac:dyDescent="0.2">
      <c r="A50" t="s">
        <v>93</v>
      </c>
      <c r="B50" t="s">
        <v>93</v>
      </c>
      <c r="C50" s="6" t="s">
        <v>75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432.62</v>
      </c>
      <c r="O50" s="7">
        <v>0</v>
      </c>
      <c r="P50" s="7">
        <v>0</v>
      </c>
      <c r="Q50" s="7">
        <v>0</v>
      </c>
      <c r="R50" s="7">
        <v>0</v>
      </c>
      <c r="S50" s="7">
        <v>200.95</v>
      </c>
      <c r="T50" s="7">
        <v>88.6</v>
      </c>
      <c r="U50" s="7">
        <v>0</v>
      </c>
      <c r="V50" s="7">
        <v>223.75</v>
      </c>
      <c r="W50" s="7">
        <v>0</v>
      </c>
      <c r="X50" s="7">
        <v>158.30000000000001</v>
      </c>
      <c r="Y50" s="7">
        <v>158.30000000000001</v>
      </c>
      <c r="Z50" s="7">
        <v>131.25</v>
      </c>
      <c r="AA50" s="7">
        <v>81.95</v>
      </c>
      <c r="AB50" s="7">
        <v>158.30000000000001</v>
      </c>
      <c r="AC50" s="7">
        <v>0</v>
      </c>
      <c r="AD50" s="7">
        <v>0</v>
      </c>
      <c r="AE50" s="7">
        <v>147.35</v>
      </c>
      <c r="AF50" s="7">
        <v>0</v>
      </c>
      <c r="AG50" s="7">
        <v>192.5</v>
      </c>
      <c r="AH50" s="7">
        <v>0</v>
      </c>
      <c r="AI50" s="7">
        <v>0</v>
      </c>
      <c r="AJ50" s="7">
        <v>0</v>
      </c>
      <c r="AK50" s="7">
        <v>0</v>
      </c>
      <c r="AL50" s="7">
        <v>262.5</v>
      </c>
      <c r="AM50" s="7">
        <v>0</v>
      </c>
      <c r="AN50" s="7">
        <f>SUM(D50:AM50)</f>
        <v>2236.37</v>
      </c>
    </row>
    <row r="51" spans="1:40" x14ac:dyDescent="0.2">
      <c r="A51" t="s">
        <v>93</v>
      </c>
      <c r="B51" t="s">
        <v>93</v>
      </c>
      <c r="C51" s="5" t="s">
        <v>76</v>
      </c>
      <c r="D51" s="5">
        <f t="shared" ref="D51:AN51" si="8">SUM(D49:D50)</f>
        <v>0</v>
      </c>
      <c r="E51" s="5">
        <f t="shared" si="8"/>
        <v>80</v>
      </c>
      <c r="F51" s="5">
        <f t="shared" si="8"/>
        <v>0</v>
      </c>
      <c r="G51" s="5">
        <f t="shared" si="8"/>
        <v>0</v>
      </c>
      <c r="H51" s="5">
        <f t="shared" si="8"/>
        <v>0</v>
      </c>
      <c r="I51" s="5">
        <f t="shared" si="8"/>
        <v>0</v>
      </c>
      <c r="J51" s="5">
        <f t="shared" si="8"/>
        <v>0</v>
      </c>
      <c r="K51" s="5">
        <f t="shared" si="8"/>
        <v>0</v>
      </c>
      <c r="L51" s="5">
        <f t="shared" si="8"/>
        <v>0</v>
      </c>
      <c r="M51" s="5">
        <f t="shared" si="8"/>
        <v>0</v>
      </c>
      <c r="N51" s="5">
        <f t="shared" si="8"/>
        <v>432.62</v>
      </c>
      <c r="O51" s="5">
        <f t="shared" si="8"/>
        <v>0</v>
      </c>
      <c r="P51" s="5">
        <f t="shared" si="8"/>
        <v>0</v>
      </c>
      <c r="Q51" s="5">
        <f t="shared" si="8"/>
        <v>0</v>
      </c>
      <c r="R51" s="5">
        <f t="shared" si="8"/>
        <v>0</v>
      </c>
      <c r="S51" s="5">
        <f t="shared" si="8"/>
        <v>200.95</v>
      </c>
      <c r="T51" s="5">
        <f t="shared" si="8"/>
        <v>88.6</v>
      </c>
      <c r="U51" s="5">
        <f t="shared" si="8"/>
        <v>0</v>
      </c>
      <c r="V51" s="5">
        <f t="shared" si="8"/>
        <v>378.2</v>
      </c>
      <c r="W51" s="5">
        <f t="shared" si="8"/>
        <v>0</v>
      </c>
      <c r="X51" s="5">
        <f t="shared" si="8"/>
        <v>158.30000000000001</v>
      </c>
      <c r="Y51" s="5">
        <f t="shared" si="8"/>
        <v>158.30000000000001</v>
      </c>
      <c r="Z51" s="5">
        <f t="shared" si="8"/>
        <v>131.25</v>
      </c>
      <c r="AA51" s="5">
        <f t="shared" si="8"/>
        <v>81.95</v>
      </c>
      <c r="AB51" s="5">
        <f t="shared" si="8"/>
        <v>158.30000000000001</v>
      </c>
      <c r="AC51" s="5">
        <f t="shared" si="8"/>
        <v>0</v>
      </c>
      <c r="AD51" s="5">
        <f t="shared" si="8"/>
        <v>0</v>
      </c>
      <c r="AE51" s="5">
        <f t="shared" si="8"/>
        <v>147.35</v>
      </c>
      <c r="AF51" s="5">
        <f t="shared" si="8"/>
        <v>0</v>
      </c>
      <c r="AG51" s="5">
        <f t="shared" si="8"/>
        <v>192.5</v>
      </c>
      <c r="AH51" s="5">
        <f t="shared" si="8"/>
        <v>0</v>
      </c>
      <c r="AI51" s="5">
        <f t="shared" si="8"/>
        <v>0</v>
      </c>
      <c r="AJ51" s="5">
        <f t="shared" si="8"/>
        <v>0</v>
      </c>
      <c r="AK51" s="5">
        <f t="shared" si="8"/>
        <v>0</v>
      </c>
      <c r="AL51" s="5">
        <f t="shared" si="8"/>
        <v>262.5</v>
      </c>
      <c r="AM51" s="5">
        <f t="shared" si="8"/>
        <v>0</v>
      </c>
      <c r="AN51" s="5">
        <f t="shared" si="8"/>
        <v>2470.8199999999997</v>
      </c>
    </row>
    <row r="52" spans="1:40" x14ac:dyDescent="0.2">
      <c r="A52" t="s">
        <v>93</v>
      </c>
      <c r="B52" t="s">
        <v>93</v>
      </c>
    </row>
    <row r="53" spans="1:40" x14ac:dyDescent="0.2">
      <c r="A53" t="s">
        <v>93</v>
      </c>
      <c r="B53" t="s">
        <v>93</v>
      </c>
      <c r="C53" s="6" t="s">
        <v>77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3115</v>
      </c>
      <c r="O53" s="7">
        <v>0</v>
      </c>
      <c r="P53" s="7">
        <v>0</v>
      </c>
      <c r="Q53" s="7">
        <v>1257.7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1199.7</v>
      </c>
      <c r="X53" s="7">
        <v>0</v>
      </c>
      <c r="Y53" s="7">
        <v>0</v>
      </c>
      <c r="Z53" s="7">
        <v>3158.1</v>
      </c>
      <c r="AA53" s="7">
        <v>0</v>
      </c>
      <c r="AB53" s="7">
        <v>0</v>
      </c>
      <c r="AC53" s="7">
        <v>0</v>
      </c>
      <c r="AD53" s="7">
        <v>1558.2</v>
      </c>
      <c r="AE53" s="7">
        <v>0</v>
      </c>
      <c r="AF53" s="7">
        <v>0</v>
      </c>
      <c r="AG53" s="7">
        <v>1558.2</v>
      </c>
      <c r="AH53" s="7">
        <v>0</v>
      </c>
      <c r="AI53" s="7">
        <v>0</v>
      </c>
      <c r="AJ53" s="7">
        <v>0</v>
      </c>
      <c r="AK53" s="7">
        <v>0</v>
      </c>
      <c r="AL53" s="7">
        <v>2066.9</v>
      </c>
      <c r="AM53" s="7">
        <v>0</v>
      </c>
      <c r="AN53" s="7">
        <f>SUM(D53:AM53)</f>
        <v>13913.800000000001</v>
      </c>
    </row>
    <row r="54" spans="1:40" x14ac:dyDescent="0.2">
      <c r="A54" t="s">
        <v>93</v>
      </c>
      <c r="B54" t="s">
        <v>93</v>
      </c>
      <c r="C54" s="6" t="s">
        <v>78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1126</v>
      </c>
      <c r="AM54" s="7">
        <v>0</v>
      </c>
      <c r="AN54" s="7">
        <f>SUM(D54:AM54)</f>
        <v>1126</v>
      </c>
    </row>
    <row r="55" spans="1:40" x14ac:dyDescent="0.2">
      <c r="A55" t="s">
        <v>93</v>
      </c>
      <c r="B55" t="s">
        <v>93</v>
      </c>
      <c r="C55" s="5" t="s">
        <v>79</v>
      </c>
      <c r="D55" s="5">
        <f t="shared" ref="D55:AN55" si="9">SUM(D53:D54)</f>
        <v>0</v>
      </c>
      <c r="E55" s="5">
        <f t="shared" si="9"/>
        <v>0</v>
      </c>
      <c r="F55" s="5">
        <f t="shared" si="9"/>
        <v>0</v>
      </c>
      <c r="G55" s="5">
        <f t="shared" si="9"/>
        <v>0</v>
      </c>
      <c r="H55" s="5">
        <f t="shared" si="9"/>
        <v>0</v>
      </c>
      <c r="I55" s="5">
        <f t="shared" si="9"/>
        <v>0</v>
      </c>
      <c r="J55" s="5">
        <f t="shared" si="9"/>
        <v>0</v>
      </c>
      <c r="K55" s="5">
        <f t="shared" si="9"/>
        <v>0</v>
      </c>
      <c r="L55" s="5">
        <f t="shared" si="9"/>
        <v>0</v>
      </c>
      <c r="M55" s="5">
        <f t="shared" si="9"/>
        <v>0</v>
      </c>
      <c r="N55" s="5">
        <f t="shared" si="9"/>
        <v>3115</v>
      </c>
      <c r="O55" s="5">
        <f t="shared" si="9"/>
        <v>0</v>
      </c>
      <c r="P55" s="5">
        <f t="shared" si="9"/>
        <v>0</v>
      </c>
      <c r="Q55" s="5">
        <f t="shared" si="9"/>
        <v>1257.7</v>
      </c>
      <c r="R55" s="5">
        <f t="shared" si="9"/>
        <v>0</v>
      </c>
      <c r="S55" s="5">
        <f t="shared" si="9"/>
        <v>0</v>
      </c>
      <c r="T55" s="5">
        <f t="shared" si="9"/>
        <v>0</v>
      </c>
      <c r="U55" s="5">
        <f t="shared" si="9"/>
        <v>0</v>
      </c>
      <c r="V55" s="5">
        <f t="shared" si="9"/>
        <v>0</v>
      </c>
      <c r="W55" s="5">
        <f t="shared" si="9"/>
        <v>1199.7</v>
      </c>
      <c r="X55" s="5">
        <f t="shared" si="9"/>
        <v>0</v>
      </c>
      <c r="Y55" s="5">
        <f t="shared" si="9"/>
        <v>0</v>
      </c>
      <c r="Z55" s="5">
        <f t="shared" si="9"/>
        <v>3158.1</v>
      </c>
      <c r="AA55" s="5">
        <f t="shared" si="9"/>
        <v>0</v>
      </c>
      <c r="AB55" s="5">
        <f t="shared" si="9"/>
        <v>0</v>
      </c>
      <c r="AC55" s="5">
        <f t="shared" si="9"/>
        <v>0</v>
      </c>
      <c r="AD55" s="5">
        <f t="shared" si="9"/>
        <v>1558.2</v>
      </c>
      <c r="AE55" s="5">
        <f t="shared" si="9"/>
        <v>0</v>
      </c>
      <c r="AF55" s="5">
        <f t="shared" si="9"/>
        <v>0</v>
      </c>
      <c r="AG55" s="5">
        <f t="shared" si="9"/>
        <v>1558.2</v>
      </c>
      <c r="AH55" s="5">
        <f t="shared" si="9"/>
        <v>0</v>
      </c>
      <c r="AI55" s="5">
        <f t="shared" si="9"/>
        <v>0</v>
      </c>
      <c r="AJ55" s="5">
        <f t="shared" si="9"/>
        <v>0</v>
      </c>
      <c r="AK55" s="5">
        <f t="shared" si="9"/>
        <v>0</v>
      </c>
      <c r="AL55" s="5">
        <f t="shared" si="9"/>
        <v>3192.9</v>
      </c>
      <c r="AM55" s="5">
        <f t="shared" si="9"/>
        <v>0</v>
      </c>
      <c r="AN55" s="5">
        <f t="shared" si="9"/>
        <v>15039.800000000001</v>
      </c>
    </row>
    <row r="56" spans="1:40" x14ac:dyDescent="0.2">
      <c r="A56" t="s">
        <v>93</v>
      </c>
      <c r="B56" t="s">
        <v>93</v>
      </c>
    </row>
    <row r="57" spans="1:40" x14ac:dyDescent="0.2">
      <c r="A57" t="s">
        <v>93</v>
      </c>
      <c r="B57" t="s">
        <v>93</v>
      </c>
      <c r="C57" s="6" t="s">
        <v>80</v>
      </c>
      <c r="D57" s="7">
        <v>0</v>
      </c>
      <c r="E57" s="7">
        <v>4401.05</v>
      </c>
      <c r="F57" s="7">
        <v>0</v>
      </c>
      <c r="G57" s="7">
        <v>0</v>
      </c>
      <c r="H57" s="7">
        <v>0</v>
      </c>
      <c r="I57" s="7">
        <v>2969.71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6402.69</v>
      </c>
      <c r="P57" s="7">
        <v>0</v>
      </c>
      <c r="Q57" s="7">
        <v>0</v>
      </c>
      <c r="R57" s="7">
        <v>0</v>
      </c>
      <c r="S57" s="7">
        <v>0</v>
      </c>
      <c r="T57" s="7">
        <v>6402.69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7013.58</v>
      </c>
      <c r="AD57" s="7">
        <v>0</v>
      </c>
      <c r="AE57" s="7">
        <v>6357.8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6526.82</v>
      </c>
      <c r="AN57" s="7">
        <f>SUM(D57:AM57)</f>
        <v>40074.340000000004</v>
      </c>
    </row>
    <row r="58" spans="1:40" x14ac:dyDescent="0.2">
      <c r="A58" t="s">
        <v>93</v>
      </c>
      <c r="B58" t="s">
        <v>93</v>
      </c>
      <c r="C58" s="6" t="s">
        <v>81</v>
      </c>
      <c r="D58" s="7">
        <v>0</v>
      </c>
      <c r="E58" s="7">
        <v>201.6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1117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879.12</v>
      </c>
      <c r="R58" s="7">
        <v>0</v>
      </c>
      <c r="S58" s="7">
        <v>0</v>
      </c>
      <c r="T58" s="7">
        <v>0</v>
      </c>
      <c r="U58" s="7">
        <v>0</v>
      </c>
      <c r="V58" s="7">
        <v>1009.03</v>
      </c>
      <c r="W58" s="7">
        <v>0</v>
      </c>
      <c r="X58" s="7">
        <v>0</v>
      </c>
      <c r="Y58" s="7">
        <v>308.88</v>
      </c>
      <c r="Z58" s="7">
        <v>0</v>
      </c>
      <c r="AA58" s="7">
        <v>0</v>
      </c>
      <c r="AB58" s="7">
        <v>0</v>
      </c>
      <c r="AC58" s="7">
        <v>244.75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25</v>
      </c>
      <c r="AN58" s="7">
        <f>SUM(D58:AM58)</f>
        <v>3785.38</v>
      </c>
    </row>
    <row r="59" spans="1:40" x14ac:dyDescent="0.2">
      <c r="A59" t="s">
        <v>93</v>
      </c>
      <c r="B59" t="s">
        <v>93</v>
      </c>
      <c r="C59" s="6" t="s">
        <v>82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800</v>
      </c>
      <c r="T59" s="7">
        <v>0</v>
      </c>
      <c r="U59" s="7">
        <v>20</v>
      </c>
      <c r="V59" s="7">
        <v>0</v>
      </c>
      <c r="W59" s="7">
        <v>61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f>SUM(D59:AM59)</f>
        <v>881</v>
      </c>
    </row>
    <row r="60" spans="1:40" x14ac:dyDescent="0.2">
      <c r="A60" t="s">
        <v>93</v>
      </c>
      <c r="B60" t="s">
        <v>93</v>
      </c>
      <c r="C60" s="5" t="s">
        <v>83</v>
      </c>
      <c r="D60" s="5">
        <f t="shared" ref="D60:AN60" si="10">SUM(D57:D59)</f>
        <v>0</v>
      </c>
      <c r="E60" s="5">
        <f t="shared" si="10"/>
        <v>4602.6500000000005</v>
      </c>
      <c r="F60" s="5">
        <f t="shared" si="10"/>
        <v>0</v>
      </c>
      <c r="G60" s="5">
        <f t="shared" si="10"/>
        <v>0</v>
      </c>
      <c r="H60" s="5">
        <f t="shared" si="10"/>
        <v>0</v>
      </c>
      <c r="I60" s="5">
        <f t="shared" si="10"/>
        <v>2969.71</v>
      </c>
      <c r="J60" s="5">
        <f t="shared" si="10"/>
        <v>0</v>
      </c>
      <c r="K60" s="5">
        <f t="shared" si="10"/>
        <v>1117</v>
      </c>
      <c r="L60" s="5">
        <f t="shared" si="10"/>
        <v>0</v>
      </c>
      <c r="M60" s="5">
        <f t="shared" si="10"/>
        <v>0</v>
      </c>
      <c r="N60" s="5">
        <f t="shared" si="10"/>
        <v>0</v>
      </c>
      <c r="O60" s="5">
        <f t="shared" si="10"/>
        <v>6402.69</v>
      </c>
      <c r="P60" s="5">
        <f t="shared" si="10"/>
        <v>0</v>
      </c>
      <c r="Q60" s="5">
        <f t="shared" si="10"/>
        <v>879.12</v>
      </c>
      <c r="R60" s="5">
        <f t="shared" si="10"/>
        <v>0</v>
      </c>
      <c r="S60" s="5">
        <f t="shared" si="10"/>
        <v>800</v>
      </c>
      <c r="T60" s="5">
        <f t="shared" si="10"/>
        <v>6402.69</v>
      </c>
      <c r="U60" s="5">
        <f t="shared" si="10"/>
        <v>20</v>
      </c>
      <c r="V60" s="5">
        <f t="shared" si="10"/>
        <v>1009.03</v>
      </c>
      <c r="W60" s="5">
        <f t="shared" si="10"/>
        <v>61</v>
      </c>
      <c r="X60" s="5">
        <f t="shared" si="10"/>
        <v>0</v>
      </c>
      <c r="Y60" s="5">
        <f t="shared" si="10"/>
        <v>308.88</v>
      </c>
      <c r="Z60" s="5">
        <f t="shared" si="10"/>
        <v>0</v>
      </c>
      <c r="AA60" s="5">
        <f t="shared" si="10"/>
        <v>0</v>
      </c>
      <c r="AB60" s="5">
        <f t="shared" si="10"/>
        <v>0</v>
      </c>
      <c r="AC60" s="5">
        <f t="shared" si="10"/>
        <v>7258.33</v>
      </c>
      <c r="AD60" s="5">
        <f t="shared" si="10"/>
        <v>0</v>
      </c>
      <c r="AE60" s="5">
        <f t="shared" si="10"/>
        <v>6357.8</v>
      </c>
      <c r="AF60" s="5">
        <f t="shared" si="10"/>
        <v>0</v>
      </c>
      <c r="AG60" s="5">
        <f t="shared" si="10"/>
        <v>0</v>
      </c>
      <c r="AH60" s="5">
        <f t="shared" si="10"/>
        <v>0</v>
      </c>
      <c r="AI60" s="5">
        <f t="shared" si="10"/>
        <v>0</v>
      </c>
      <c r="AJ60" s="5">
        <f t="shared" si="10"/>
        <v>0</v>
      </c>
      <c r="AK60" s="5">
        <f t="shared" si="10"/>
        <v>0</v>
      </c>
      <c r="AL60" s="5">
        <f t="shared" si="10"/>
        <v>0</v>
      </c>
      <c r="AM60" s="5">
        <f t="shared" si="10"/>
        <v>6551.82</v>
      </c>
      <c r="AN60" s="5">
        <f t="shared" si="10"/>
        <v>44740.72</v>
      </c>
    </row>
    <row r="61" spans="1:40" x14ac:dyDescent="0.2">
      <c r="A61" t="s">
        <v>93</v>
      </c>
      <c r="B61" t="s">
        <v>93</v>
      </c>
    </row>
    <row r="62" spans="1:40" x14ac:dyDescent="0.2">
      <c r="A62" t="s">
        <v>93</v>
      </c>
      <c r="B62" t="s">
        <v>93</v>
      </c>
      <c r="C62" s="6" t="s">
        <v>84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850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f>SUM(D62:AM62)</f>
        <v>850</v>
      </c>
    </row>
    <row r="63" spans="1:40" x14ac:dyDescent="0.2">
      <c r="A63" t="s">
        <v>93</v>
      </c>
      <c r="B63" t="s">
        <v>93</v>
      </c>
      <c r="C63" s="6" t="s">
        <v>85</v>
      </c>
      <c r="D63" s="7">
        <v>1200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f>SUM(D63:AM63)</f>
        <v>1200</v>
      </c>
    </row>
    <row r="64" spans="1:40" x14ac:dyDescent="0.2">
      <c r="A64" t="s">
        <v>93</v>
      </c>
      <c r="B64" t="s">
        <v>93</v>
      </c>
      <c r="C64" s="5" t="s">
        <v>86</v>
      </c>
      <c r="D64" s="5">
        <f t="shared" ref="D64:AN64" si="11">SUM(D62:D63)</f>
        <v>1200</v>
      </c>
      <c r="E64" s="5">
        <f t="shared" si="11"/>
        <v>0</v>
      </c>
      <c r="F64" s="5">
        <f t="shared" si="11"/>
        <v>0</v>
      </c>
      <c r="G64" s="5">
        <f t="shared" si="11"/>
        <v>0</v>
      </c>
      <c r="H64" s="5">
        <f t="shared" si="11"/>
        <v>0</v>
      </c>
      <c r="I64" s="5">
        <f t="shared" si="11"/>
        <v>0</v>
      </c>
      <c r="J64" s="5">
        <f t="shared" si="11"/>
        <v>0</v>
      </c>
      <c r="K64" s="5">
        <f t="shared" si="11"/>
        <v>0</v>
      </c>
      <c r="L64" s="5">
        <f t="shared" si="11"/>
        <v>0</v>
      </c>
      <c r="M64" s="5">
        <f t="shared" si="11"/>
        <v>0</v>
      </c>
      <c r="N64" s="5">
        <f t="shared" si="11"/>
        <v>0</v>
      </c>
      <c r="O64" s="5">
        <f t="shared" si="11"/>
        <v>0</v>
      </c>
      <c r="P64" s="5">
        <f t="shared" si="11"/>
        <v>0</v>
      </c>
      <c r="Q64" s="5">
        <f t="shared" si="11"/>
        <v>0</v>
      </c>
      <c r="R64" s="5">
        <f t="shared" si="11"/>
        <v>0</v>
      </c>
      <c r="S64" s="5">
        <f t="shared" si="11"/>
        <v>0</v>
      </c>
      <c r="T64" s="5">
        <f t="shared" si="11"/>
        <v>0</v>
      </c>
      <c r="U64" s="5">
        <f t="shared" si="11"/>
        <v>0</v>
      </c>
      <c r="V64" s="5">
        <f t="shared" si="11"/>
        <v>0</v>
      </c>
      <c r="W64" s="5">
        <f t="shared" si="11"/>
        <v>0</v>
      </c>
      <c r="X64" s="5">
        <f t="shared" si="11"/>
        <v>850</v>
      </c>
      <c r="Y64" s="5">
        <f t="shared" si="11"/>
        <v>0</v>
      </c>
      <c r="Z64" s="5">
        <f t="shared" si="11"/>
        <v>0</v>
      </c>
      <c r="AA64" s="5">
        <f t="shared" si="11"/>
        <v>0</v>
      </c>
      <c r="AB64" s="5">
        <f t="shared" si="11"/>
        <v>0</v>
      </c>
      <c r="AC64" s="5">
        <f t="shared" si="11"/>
        <v>0</v>
      </c>
      <c r="AD64" s="5">
        <f t="shared" si="11"/>
        <v>0</v>
      </c>
      <c r="AE64" s="5">
        <f t="shared" si="11"/>
        <v>0</v>
      </c>
      <c r="AF64" s="5">
        <f t="shared" si="11"/>
        <v>0</v>
      </c>
      <c r="AG64" s="5">
        <f t="shared" si="11"/>
        <v>0</v>
      </c>
      <c r="AH64" s="5">
        <f t="shared" si="11"/>
        <v>0</v>
      </c>
      <c r="AI64" s="5">
        <f t="shared" si="11"/>
        <v>0</v>
      </c>
      <c r="AJ64" s="5">
        <f t="shared" si="11"/>
        <v>0</v>
      </c>
      <c r="AK64" s="5">
        <f t="shared" si="11"/>
        <v>0</v>
      </c>
      <c r="AL64" s="5">
        <f t="shared" si="11"/>
        <v>0</v>
      </c>
      <c r="AM64" s="5">
        <f t="shared" si="11"/>
        <v>0</v>
      </c>
      <c r="AN64" s="5">
        <f t="shared" si="11"/>
        <v>2050</v>
      </c>
    </row>
    <row r="65" spans="1:40" x14ac:dyDescent="0.2">
      <c r="A65" t="s">
        <v>93</v>
      </c>
      <c r="B65" t="s">
        <v>93</v>
      </c>
    </row>
    <row r="66" spans="1:40" x14ac:dyDescent="0.2">
      <c r="A66" t="s">
        <v>93</v>
      </c>
      <c r="B66" t="s">
        <v>93</v>
      </c>
      <c r="C66" s="3" t="s">
        <v>87</v>
      </c>
      <c r="D66" s="3">
        <f t="shared" ref="D66:AN66" si="12">D23+D37+D47+D51+D55+D60+D64</f>
        <v>7694.4999999999991</v>
      </c>
      <c r="E66" s="3">
        <f t="shared" si="12"/>
        <v>6608.09</v>
      </c>
      <c r="F66" s="3">
        <f t="shared" si="12"/>
        <v>1284.78</v>
      </c>
      <c r="G66" s="3">
        <f t="shared" si="12"/>
        <v>1607.78</v>
      </c>
      <c r="H66" s="3">
        <f t="shared" si="12"/>
        <v>2797.5200000000004</v>
      </c>
      <c r="I66" s="3">
        <f t="shared" si="12"/>
        <v>10279.14</v>
      </c>
      <c r="J66" s="3">
        <f t="shared" si="12"/>
        <v>6380.91</v>
      </c>
      <c r="K66" s="3">
        <f t="shared" si="12"/>
        <v>5147</v>
      </c>
      <c r="L66" s="3">
        <f t="shared" si="12"/>
        <v>4356.34</v>
      </c>
      <c r="M66" s="3">
        <f t="shared" si="12"/>
        <v>3752.6400000000003</v>
      </c>
      <c r="N66" s="3">
        <f t="shared" si="12"/>
        <v>4825.21</v>
      </c>
      <c r="O66" s="3">
        <f t="shared" si="12"/>
        <v>9507.8799999999992</v>
      </c>
      <c r="P66" s="3">
        <f t="shared" si="12"/>
        <v>6415.18</v>
      </c>
      <c r="Q66" s="3">
        <f t="shared" si="12"/>
        <v>5891.37</v>
      </c>
      <c r="R66" s="3">
        <f t="shared" si="12"/>
        <v>2260.5099999999998</v>
      </c>
      <c r="S66" s="3">
        <f t="shared" si="12"/>
        <v>5382.22</v>
      </c>
      <c r="T66" s="3">
        <f t="shared" si="12"/>
        <v>8700.41</v>
      </c>
      <c r="U66" s="3">
        <f t="shared" si="12"/>
        <v>5596.79</v>
      </c>
      <c r="V66" s="3">
        <f t="shared" si="12"/>
        <v>7745.22</v>
      </c>
      <c r="W66" s="3">
        <f t="shared" si="12"/>
        <v>4953.8700000000008</v>
      </c>
      <c r="X66" s="3">
        <f t="shared" si="12"/>
        <v>3949.8500000000004</v>
      </c>
      <c r="Y66" s="3">
        <f t="shared" si="12"/>
        <v>2936.3300000000004</v>
      </c>
      <c r="Z66" s="3">
        <f t="shared" si="12"/>
        <v>4624.4399999999996</v>
      </c>
      <c r="AA66" s="3">
        <f t="shared" si="12"/>
        <v>4655.08</v>
      </c>
      <c r="AB66" s="3">
        <f t="shared" si="12"/>
        <v>3494.86</v>
      </c>
      <c r="AC66" s="3">
        <f t="shared" si="12"/>
        <v>9414.85</v>
      </c>
      <c r="AD66" s="3">
        <f t="shared" si="12"/>
        <v>5916.2000000000007</v>
      </c>
      <c r="AE66" s="3">
        <f t="shared" si="12"/>
        <v>8519.66</v>
      </c>
      <c r="AF66" s="3">
        <f t="shared" si="12"/>
        <v>2708.46</v>
      </c>
      <c r="AG66" s="3">
        <f t="shared" si="12"/>
        <v>7556.8199999999988</v>
      </c>
      <c r="AH66" s="3">
        <f t="shared" si="12"/>
        <v>3287.43</v>
      </c>
      <c r="AI66" s="3">
        <f t="shared" si="12"/>
        <v>2847.66</v>
      </c>
      <c r="AJ66" s="3">
        <f t="shared" si="12"/>
        <v>3420.43</v>
      </c>
      <c r="AK66" s="3">
        <f t="shared" si="12"/>
        <v>2645.0699999999997</v>
      </c>
      <c r="AL66" s="3">
        <f t="shared" si="12"/>
        <v>5975.49</v>
      </c>
      <c r="AM66" s="3">
        <f t="shared" si="12"/>
        <v>9926.7099999999991</v>
      </c>
      <c r="AN66" s="3">
        <f t="shared" si="12"/>
        <v>193066.69999999998</v>
      </c>
    </row>
    <row r="67" spans="1:40" x14ac:dyDescent="0.2">
      <c r="A67" t="s">
        <v>93</v>
      </c>
      <c r="B67" t="s">
        <v>93</v>
      </c>
    </row>
    <row r="68" spans="1:40" ht="19" x14ac:dyDescent="0.25">
      <c r="A68" s="9" t="s">
        <v>93</v>
      </c>
      <c r="B68" s="14" t="s">
        <v>88</v>
      </c>
      <c r="C68" s="14" t="s">
        <v>93</v>
      </c>
      <c r="D68" s="8">
        <f t="shared" ref="D68:AN68" si="13">D12-D66</f>
        <v>2462.4500000000016</v>
      </c>
      <c r="E68" s="8">
        <f t="shared" si="13"/>
        <v>2699.5499999999993</v>
      </c>
      <c r="F68" s="8">
        <f t="shared" si="13"/>
        <v>-428.28</v>
      </c>
      <c r="G68" s="8">
        <f t="shared" si="13"/>
        <v>3574.87</v>
      </c>
      <c r="H68" s="8">
        <f t="shared" si="13"/>
        <v>13429.13</v>
      </c>
      <c r="I68" s="8">
        <f t="shared" si="13"/>
        <v>14634.900000000001</v>
      </c>
      <c r="J68" s="8">
        <f t="shared" si="13"/>
        <v>7147.32</v>
      </c>
      <c r="K68" s="8">
        <f t="shared" si="13"/>
        <v>25149</v>
      </c>
      <c r="L68" s="8">
        <f t="shared" si="13"/>
        <v>15159.61</v>
      </c>
      <c r="M68" s="8">
        <f t="shared" si="13"/>
        <v>11452.95</v>
      </c>
      <c r="N68" s="8">
        <f t="shared" si="13"/>
        <v>5724.8300000000008</v>
      </c>
      <c r="O68" s="8">
        <f t="shared" si="13"/>
        <v>3549.380000000001</v>
      </c>
      <c r="P68" s="8">
        <f t="shared" si="13"/>
        <v>43.269999999999527</v>
      </c>
      <c r="Q68" s="8">
        <f t="shared" si="13"/>
        <v>1911.4099999999999</v>
      </c>
      <c r="R68" s="8">
        <f t="shared" si="13"/>
        <v>4566.01</v>
      </c>
      <c r="S68" s="8">
        <f t="shared" si="13"/>
        <v>3248.7</v>
      </c>
      <c r="T68" s="8">
        <f t="shared" si="13"/>
        <v>4820.7900000000009</v>
      </c>
      <c r="U68" s="8">
        <f t="shared" si="13"/>
        <v>5206.87</v>
      </c>
      <c r="V68" s="8">
        <f t="shared" si="13"/>
        <v>10704.98</v>
      </c>
      <c r="W68" s="8">
        <f t="shared" si="13"/>
        <v>8733.42</v>
      </c>
      <c r="X68" s="8">
        <f t="shared" si="13"/>
        <v>4685.2299999999996</v>
      </c>
      <c r="Y68" s="8">
        <f t="shared" si="13"/>
        <v>8787.27</v>
      </c>
      <c r="Z68" s="8">
        <f t="shared" si="13"/>
        <v>-382.9399999999996</v>
      </c>
      <c r="AA68" s="8">
        <f t="shared" si="13"/>
        <v>12169.17</v>
      </c>
      <c r="AB68" s="8">
        <f t="shared" si="13"/>
        <v>909.83999999999969</v>
      </c>
      <c r="AC68" s="8">
        <f t="shared" si="13"/>
        <v>-2810.8500000000004</v>
      </c>
      <c r="AD68" s="8">
        <f t="shared" si="13"/>
        <v>18521.39</v>
      </c>
      <c r="AE68" s="8">
        <f t="shared" si="13"/>
        <v>4368.24</v>
      </c>
      <c r="AF68" s="8">
        <f t="shared" si="13"/>
        <v>6018.5099999999993</v>
      </c>
      <c r="AG68" s="8">
        <f t="shared" si="13"/>
        <v>13130.75</v>
      </c>
      <c r="AH68" s="8">
        <f t="shared" si="13"/>
        <v>14906.619999999999</v>
      </c>
      <c r="AI68" s="8">
        <f t="shared" si="13"/>
        <v>12293.23</v>
      </c>
      <c r="AJ68" s="8">
        <f t="shared" si="13"/>
        <v>14909.2</v>
      </c>
      <c r="AK68" s="8">
        <f t="shared" si="13"/>
        <v>8059.1</v>
      </c>
      <c r="AL68" s="8">
        <f t="shared" si="13"/>
        <v>3364.2299999999996</v>
      </c>
      <c r="AM68" s="8">
        <f t="shared" si="13"/>
        <v>671.34000000000015</v>
      </c>
      <c r="AN68" s="10">
        <f t="shared" si="13"/>
        <v>263391.49</v>
      </c>
    </row>
    <row r="69" spans="1:40" x14ac:dyDescent="0.2">
      <c r="A69" t="s">
        <v>93</v>
      </c>
      <c r="B69" t="s">
        <v>93</v>
      </c>
    </row>
    <row r="70" spans="1:40" x14ac:dyDescent="0.2">
      <c r="A70" t="s">
        <v>93</v>
      </c>
      <c r="B70" t="s">
        <v>93</v>
      </c>
    </row>
    <row r="71" spans="1:40" x14ac:dyDescent="0.2">
      <c r="A71" t="s">
        <v>93</v>
      </c>
      <c r="B71" s="13" t="s">
        <v>89</v>
      </c>
      <c r="C71" s="13" t="s">
        <v>93</v>
      </c>
      <c r="D71" s="13" t="s">
        <v>93</v>
      </c>
    </row>
    <row r="72" spans="1:40" x14ac:dyDescent="0.2">
      <c r="A72" s="11" t="s">
        <v>93</v>
      </c>
      <c r="B72" s="15" t="s">
        <v>90</v>
      </c>
      <c r="C72" s="15" t="s">
        <v>93</v>
      </c>
    </row>
    <row r="73" spans="1:40" x14ac:dyDescent="0.2">
      <c r="A73" t="s">
        <v>93</v>
      </c>
      <c r="B73" t="s">
        <v>93</v>
      </c>
    </row>
    <row r="74" spans="1:40" x14ac:dyDescent="0.2">
      <c r="A74" t="s">
        <v>93</v>
      </c>
      <c r="B74" s="13" t="s">
        <v>91</v>
      </c>
      <c r="C74" s="13" t="s">
        <v>93</v>
      </c>
    </row>
    <row r="75" spans="1:40" x14ac:dyDescent="0.2">
      <c r="A75" t="s">
        <v>93</v>
      </c>
      <c r="B75" s="12" t="s">
        <v>92</v>
      </c>
      <c r="C75" s="13" t="s">
        <v>93</v>
      </c>
    </row>
  </sheetData>
  <mergeCells count="10">
    <mergeCell ref="A2:AN2"/>
    <mergeCell ref="C3:AN3"/>
    <mergeCell ref="B5:C5"/>
    <mergeCell ref="B7:C7"/>
    <mergeCell ref="B14:C14"/>
    <mergeCell ref="B75:C75"/>
    <mergeCell ref="B68:C68"/>
    <mergeCell ref="B71:D71"/>
    <mergeCell ref="B72:C72"/>
    <mergeCell ref="B74:C74"/>
  </mergeCells>
  <hyperlinks>
    <hyperlink ref="B75" r:id="rId1" xr:uid="{00000000-0004-0000-0000-000000000000}"/>
  </hyperlinks>
  <pageMargins left="0.5" right="0.5" top="0.5" bottom="0.5" header="0.7" footer="0.7"/>
  <pageSetup fitToHeight="10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Steven Larsen</cp:lastModifiedBy>
  <cp:revision>0</cp:revision>
  <dcterms:created xsi:type="dcterms:W3CDTF">2026-01-10T03:45:00Z</dcterms:created>
  <dcterms:modified xsi:type="dcterms:W3CDTF">2026-01-10T06:34:34Z</dcterms:modified>
</cp:coreProperties>
</file>